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und Economics" sheetId="2" state="visible" r:id="rId2"/>
    <sheet name="3-Year Operating Plan" sheetId="3" state="visible" r:id="rId3"/>
    <sheet name="Portfolio Construction" sheetId="4" state="visible" r:id="rId4"/>
    <sheet name="Scenario Analysis" sheetId="5" state="visible" r:id="rId5"/>
    <sheet name="Investor Calculator" sheetId="6" state="visible" r:id="rId6"/>
    <sheet name="Assumptions &amp; Inputs" sheetId="7" state="visible" r:id="rId7"/>
  </sheets>
  <definedNames>
    <definedName name="FundSize">'Assumptions &amp; Inputs'!$B$8</definedName>
    <definedName name="MgmtFee">'Assumptions &amp; Inputs'!$B$11</definedName>
    <definedName name="CarryRate">'Assumptions &amp; Inputs'!$B$12</definedName>
    <definedName name="HurdleRate">'Assumptions &amp; Inputs'!$B$13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0.0%"/>
    <numFmt numFmtId="166" formatCode="0.00&quot;x&quot;"/>
    <numFmt numFmtId="167" formatCode="MMM-YYYY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b val="1"/>
      <color rgb="000A2463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4"/>
    </font>
    <font>
      <name val="Calibri"/>
      <b val="1"/>
      <color rgb="001B5E20"/>
      <sz val="12"/>
    </font>
    <font>
      <name val="Calibri"/>
      <b val="1"/>
      <color rgb="001565C0"/>
      <sz val="14"/>
    </font>
    <font>
      <name val="Calibri"/>
      <i val="1"/>
      <color rgb="001565C0"/>
      <sz val="10"/>
    </font>
    <font>
      <name val="Calibri"/>
      <b val="1"/>
      <color rgb="00757575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B5E20"/>
      <sz val="11"/>
    </font>
    <font>
      <name val="Calibri"/>
      <color rgb="00E53935"/>
      <sz val="10"/>
    </font>
    <font>
      <name val="Calibri"/>
      <color rgb="00F57F17"/>
      <sz val="10"/>
    </font>
    <font>
      <name val="Calibri"/>
      <color rgb="001B5E20"/>
      <sz val="10"/>
    </font>
    <font>
      <name val="Calibri"/>
      <i val="1"/>
      <color rgb="00757575"/>
      <sz val="10"/>
    </font>
    <font>
      <name val="Calibri"/>
      <b val="1"/>
      <color rgb="001B5E20"/>
      <sz val="16"/>
    </font>
    <font>
      <name val="Calibri"/>
      <i val="1"/>
      <color rgb="007B0000"/>
      <sz val="10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A2463"/>
      <sz val="9"/>
      <u val="single"/>
    </font>
  </fonts>
  <fills count="17">
    <fill>
      <patternFill/>
    </fill>
    <fill>
      <patternFill patternType="gray125"/>
    </fill>
    <fill>
      <patternFill patternType="solid">
        <fgColor rgb="000A2463"/>
        <bgColor rgb="000A2463"/>
      </patternFill>
    </fill>
    <fill>
      <patternFill patternType="solid">
        <fgColor rgb="001565C0"/>
        <bgColor rgb="001565C0"/>
      </patternFill>
    </fill>
    <fill>
      <patternFill patternType="solid">
        <fgColor rgb="00D9E1F2"/>
        <bgColor rgb="00D9E1F2"/>
      </patternFill>
    </fill>
    <fill>
      <patternFill patternType="solid">
        <fgColor rgb="00FFF9E6"/>
        <bgColor rgb="00FFF9E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757575"/>
        <bgColor rgb="00757575"/>
      </patternFill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FFEBEE"/>
        <bgColor rgb="00FFEBEE"/>
      </patternFill>
    </fill>
    <fill>
      <patternFill patternType="solid">
        <fgColor rgb="00FFF9C4"/>
        <bgColor rgb="00FFF9C4"/>
      </patternFill>
    </fill>
    <fill>
      <patternFill patternType="solid">
        <fgColor rgb="00E53935"/>
        <bgColor rgb="00E53935"/>
      </patternFill>
    </fill>
    <fill>
      <patternFill patternType="solid">
        <fgColor rgb="00EBF1FF"/>
        <bgColor rgb="00EBF1FF"/>
      </patternFill>
    </fill>
  </fills>
  <borders count="14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21" fillId="2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23" fillId="5" borderId="6" applyAlignment="1" pivotButton="0" quotePrefix="0" xfId="0">
      <alignment horizontal="center" vertical="center"/>
    </xf>
    <xf numFmtId="0" fontId="24" fillId="2" borderId="11" applyAlignment="1" pivotButton="0" quotePrefix="0" xfId="0">
      <alignment horizontal="center" vertical="center"/>
    </xf>
    <xf numFmtId="0" fontId="5" fillId="16" borderId="12" applyAlignment="1" pivotButton="0" quotePrefix="0" xfId="0">
      <alignment horizontal="left" vertical="center"/>
    </xf>
    <xf numFmtId="49" fontId="4" fillId="9" borderId="13" applyAlignment="1" pivotButton="0" quotePrefix="0" xfId="0">
      <alignment horizontal="right" vertical="center"/>
    </xf>
    <xf numFmtId="164" fontId="4" fillId="9" borderId="13" applyAlignment="1" pivotButton="0" quotePrefix="0" xfId="0">
      <alignment horizontal="right" vertical="center"/>
    </xf>
    <xf numFmtId="3" fontId="4" fillId="9" borderId="13" applyAlignment="1" pivotButton="0" quotePrefix="0" xfId="0">
      <alignment horizontal="right" vertical="center"/>
    </xf>
    <xf numFmtId="166" fontId="4" fillId="9" borderId="13" applyAlignment="1" pivotButton="0" quotePrefix="0" xfId="0">
      <alignment horizontal="right" vertical="center"/>
    </xf>
    <xf numFmtId="0" fontId="25" fillId="2" borderId="0" applyAlignment="1" pivotButton="0" quotePrefix="0" xfId="0">
      <alignment horizontal="center" vertical="center"/>
    </xf>
    <xf numFmtId="0" fontId="26" fillId="3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left" vertical="center"/>
    </xf>
    <xf numFmtId="164" fontId="5" fillId="6" borderId="6" applyAlignment="1" pivotButton="0" quotePrefix="0" xfId="0">
      <alignment horizontal="right" vertical="center"/>
    </xf>
    <xf numFmtId="0" fontId="5" fillId="7" borderId="6" applyAlignment="1" pivotButton="0" quotePrefix="0" xfId="0">
      <alignment horizontal="left" vertical="center"/>
    </xf>
    <xf numFmtId="164" fontId="5" fillId="7" borderId="6" applyAlignment="1" pivotButton="0" quotePrefix="0" xfId="0">
      <alignment horizontal="right" vertical="center"/>
    </xf>
    <xf numFmtId="0" fontId="6" fillId="6" borderId="6" applyAlignment="1" pivotButton="0" quotePrefix="0" xfId="0">
      <alignment horizontal="left" vertical="center"/>
    </xf>
    <xf numFmtId="164" fontId="6" fillId="6" borderId="6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4" borderId="6" applyAlignment="1" pivotButton="0" quotePrefix="0" xfId="0">
      <alignment horizontal="center" vertical="center"/>
    </xf>
    <xf numFmtId="0" fontId="5" fillId="6" borderId="6" pivotButton="0" quotePrefix="0" xfId="0"/>
    <xf numFmtId="164" fontId="6" fillId="5" borderId="6" applyAlignment="1" pivotButton="0" quotePrefix="0" xfId="0">
      <alignment horizontal="right" vertical="center"/>
    </xf>
    <xf numFmtId="0" fontId="2" fillId="0" borderId="6" pivotButton="0" quotePrefix="0" xfId="0"/>
    <xf numFmtId="0" fontId="5" fillId="7" borderId="6" pivotButton="0" quotePrefix="0" xfId="0"/>
    <xf numFmtId="165" fontId="6" fillId="5" borderId="6" applyAlignment="1" pivotButton="0" quotePrefix="0" xfId="0">
      <alignment horizontal="right" vertical="center"/>
    </xf>
    <xf numFmtId="3" fontId="5" fillId="6" borderId="6" applyAlignment="1" pivotButton="0" quotePrefix="0" xfId="0">
      <alignment horizontal="right" vertical="center"/>
    </xf>
    <xf numFmtId="3" fontId="5" fillId="7" borderId="6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164" fontId="6" fillId="9" borderId="6" applyAlignment="1" pivotButton="0" quotePrefix="0" xfId="0">
      <alignment horizontal="right" vertical="center"/>
    </xf>
    <xf numFmtId="0" fontId="5" fillId="0" borderId="6" applyAlignment="1" pivotButton="0" quotePrefix="0" xfId="0">
      <alignment horizontal="left" vertical="center"/>
    </xf>
    <xf numFmtId="0" fontId="2" fillId="0" borderId="0" pivotButton="0" quotePrefix="0" xfId="0"/>
    <xf numFmtId="166" fontId="6" fillId="5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0" fontId="3" fillId="10" borderId="6" applyAlignment="1" pivotButton="0" quotePrefix="0" xfId="0">
      <alignment horizontal="left" vertical="center"/>
    </xf>
    <xf numFmtId="164" fontId="5" fillId="9" borderId="6" applyAlignment="1" pivotButton="0" quotePrefix="0" xfId="0">
      <alignment horizontal="right" vertical="center"/>
    </xf>
    <xf numFmtId="0" fontId="3" fillId="11" borderId="6" applyAlignment="1" pivotButton="0" quotePrefix="0" xfId="0">
      <alignment horizontal="left" vertical="center"/>
    </xf>
    <xf numFmtId="164" fontId="7" fillId="12" borderId="6" applyAlignment="1" pivotButton="0" quotePrefix="0" xfId="0">
      <alignment horizontal="right" vertical="center"/>
    </xf>
    <xf numFmtId="166" fontId="8" fillId="12" borderId="6" applyAlignment="1" pivotButton="0" quotePrefix="0" xfId="0">
      <alignment horizontal="right" vertical="center"/>
    </xf>
    <xf numFmtId="165" fontId="8" fillId="12" borderId="6" applyAlignment="1" pivotButton="0" quotePrefix="0" xfId="0">
      <alignment horizontal="right" vertical="center"/>
    </xf>
    <xf numFmtId="166" fontId="5" fillId="9" borderId="6" applyAlignment="1" pivotButton="0" quotePrefix="0" xfId="0">
      <alignment horizontal="right" vertical="center"/>
    </xf>
    <xf numFmtId="164" fontId="8" fillId="12" borderId="6" applyAlignment="1" pivotButton="0" quotePrefix="0" xfId="0">
      <alignment horizontal="right" vertical="center"/>
    </xf>
    <xf numFmtId="0" fontId="6" fillId="7" borderId="6" applyAlignment="1" pivotButton="0" quotePrefix="0" xfId="0">
      <alignment horizontal="left" vertical="center"/>
    </xf>
    <xf numFmtId="164" fontId="6" fillId="7" borderId="6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4" fontId="9" fillId="9" borderId="6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165" fontId="5" fillId="6" borderId="6" applyAlignment="1" pivotButton="0" quotePrefix="0" xfId="0">
      <alignment horizontal="right" vertical="center"/>
    </xf>
    <xf numFmtId="0" fontId="13" fillId="6" borderId="6" applyAlignment="1" pivotButton="0" quotePrefix="0" xfId="0">
      <alignment horizontal="center" vertical="center"/>
    </xf>
    <xf numFmtId="0" fontId="0" fillId="5" borderId="6" pivotButton="0" quotePrefix="0" xfId="0"/>
    <xf numFmtId="167" fontId="0" fillId="5" borderId="6" pivotButton="0" quotePrefix="0" xfId="0"/>
    <xf numFmtId="164" fontId="0" fillId="9" borderId="6" applyAlignment="1" pivotButton="0" quotePrefix="0" xfId="0">
      <alignment horizontal="right" vertical="center"/>
    </xf>
    <xf numFmtId="166" fontId="0" fillId="9" borderId="6" applyAlignment="1" pivotButton="0" quotePrefix="0" xfId="0">
      <alignment horizontal="right" vertical="center"/>
    </xf>
    <xf numFmtId="0" fontId="13" fillId="7" borderId="6" applyAlignment="1" pivotButton="0" quotePrefix="0" xfId="0">
      <alignment horizontal="center" vertical="center"/>
    </xf>
    <xf numFmtId="3" fontId="5" fillId="9" borderId="6" applyAlignment="1" pivotButton="0" quotePrefix="0" xfId="0">
      <alignment horizontal="right" vertical="center"/>
    </xf>
    <xf numFmtId="166" fontId="7" fillId="12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6" fillId="4" borderId="1" pivotButton="0" quotePrefix="0" xfId="0"/>
    <xf numFmtId="3" fontId="0" fillId="0" borderId="0" pivotButton="0" quotePrefix="0" xfId="0"/>
    <xf numFmtId="166" fontId="14" fillId="12" borderId="6" applyAlignment="1" pivotButton="0" quotePrefix="0" xfId="0">
      <alignment horizontal="right" vertical="center"/>
    </xf>
    <xf numFmtId="165" fontId="14" fillId="12" borderId="6" applyAlignment="1" pivotButton="0" quotePrefix="0" xfId="0">
      <alignment horizontal="right" vertical="center"/>
    </xf>
    <xf numFmtId="164" fontId="14" fillId="12" borderId="6" applyAlignment="1" pivotButton="0" quotePrefix="0" xfId="0">
      <alignment horizontal="right" vertical="center"/>
    </xf>
    <xf numFmtId="166" fontId="5" fillId="6" borderId="6" applyAlignment="1" pivotButton="0" quotePrefix="0" xfId="0">
      <alignment horizontal="right" vertical="center"/>
    </xf>
    <xf numFmtId="165" fontId="5" fillId="7" borderId="6" applyAlignment="1" pivotButton="0" quotePrefix="0" xfId="0">
      <alignment horizontal="right" vertical="center"/>
    </xf>
    <xf numFmtId="0" fontId="6" fillId="6" borderId="6" pivotButton="0" quotePrefix="0" xfId="0"/>
    <xf numFmtId="165" fontId="15" fillId="13" borderId="6" applyAlignment="1" pivotButton="0" quotePrefix="0" xfId="0">
      <alignment horizontal="right" vertical="center"/>
    </xf>
    <xf numFmtId="0" fontId="6" fillId="7" borderId="6" pivotButton="0" quotePrefix="0" xfId="0"/>
    <xf numFmtId="165" fontId="16" fillId="14" borderId="6" applyAlignment="1" pivotButton="0" quotePrefix="0" xfId="0">
      <alignment horizontal="right" vertical="center"/>
    </xf>
    <xf numFmtId="165" fontId="17" fillId="12" borderId="6" applyAlignment="1" pivotButton="0" quotePrefix="0" xfId="0">
      <alignment horizontal="right" vertical="center"/>
    </xf>
    <xf numFmtId="0" fontId="18" fillId="0" borderId="0" pivotButton="0" quotePrefix="0" xfId="0"/>
    <xf numFmtId="164" fontId="19" fillId="12" borderId="6" applyAlignment="1" pivotButton="0" quotePrefix="0" xfId="0">
      <alignment horizontal="right" vertical="center"/>
    </xf>
    <xf numFmtId="166" fontId="19" fillId="12" borderId="6" applyAlignment="1" pivotButton="0" quotePrefix="0" xfId="0">
      <alignment horizontal="right" vertical="center"/>
    </xf>
    <xf numFmtId="165" fontId="19" fillId="12" borderId="6" applyAlignment="1" pivotButton="0" quotePrefix="0" xfId="0">
      <alignment horizontal="right" vertical="center"/>
    </xf>
    <xf numFmtId="166" fontId="5" fillId="7" borderId="6" applyAlignment="1" pivotButton="0" quotePrefix="0" xfId="0">
      <alignment horizontal="right" vertical="center"/>
    </xf>
    <xf numFmtId="165" fontId="5" fillId="9" borderId="6" applyAlignment="1" pivotButton="0" quotePrefix="0" xfId="0">
      <alignment horizontal="right" vertical="center"/>
    </xf>
    <xf numFmtId="0" fontId="3" fillId="15" borderId="6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top" wrapText="1"/>
    </xf>
    <xf numFmtId="0" fontId="5" fillId="0" borderId="6" pivotButton="0" quotePrefix="0" xfId="0"/>
    <xf numFmtId="49" fontId="5" fillId="0" borderId="6" applyAlignment="1" pivotButton="0" quotePrefix="0" xfId="0">
      <alignment horizontal="right" vertical="center"/>
    </xf>
    <xf numFmtId="164" fontId="5" fillId="0" borderId="6" applyAlignment="1" pivotButton="0" quotePrefix="0" xfId="0">
      <alignment horizontal="right" vertical="center"/>
    </xf>
    <xf numFmtId="3" fontId="5" fillId="0" borderId="6" applyAlignment="1" pivotButton="0" quotePrefix="0" xfId="0">
      <alignment horizontal="right" vertical="center"/>
    </xf>
    <xf numFmtId="165" fontId="5" fillId="0" borderId="6" applyAlignment="1" pivotButton="0" quotePrefix="0" xfId="0">
      <alignment horizontal="right" vertical="center"/>
    </xf>
    <xf numFmtId="0" fontId="5" fillId="0" borderId="6" applyAlignment="1" pivotButton="0" quotePrefix="0" xfId="0">
      <alignment horizontal="right" vertical="center"/>
    </xf>
    <xf numFmtId="0" fontId="5" fillId="0" borderId="6" applyAlignment="1" pivotButton="0" quotePrefix="0" xfId="0">
      <alignment horizontal="center" vertical="center"/>
    </xf>
    <xf numFmtId="0" fontId="6" fillId="8" borderId="6" pivotButton="0" quotePrefix="0" xfId="0"/>
  </cellXfs>
  <cellStyles count="1">
    <cellStyle name="Normal" xfId="0" builtinId="0" hidden="0"/>
  </cellStyles>
  <dxfs count="3">
    <dxf>
      <font>
        <name val="Calibri"/>
        <color rgb="001B5E20"/>
        <sz val="10"/>
      </font>
      <fill>
        <patternFill patternType="solid">
          <fgColor rgb="00C8E6C9"/>
          <bgColor rgb="00C8E6C9"/>
        </patternFill>
      </fill>
    </dxf>
    <dxf>
      <font>
        <name val="Calibri"/>
        <color rgb="00F57F17"/>
        <sz val="10"/>
      </font>
      <fill>
        <patternFill patternType="solid">
          <fgColor rgb="00FFF9C4"/>
          <bgColor rgb="00FFF9C4"/>
        </patternFill>
      </fill>
    </dxf>
    <dxf>
      <font>
        <name val="Calibri"/>
        <color rgb="00E53935"/>
        <sz val="10"/>
      </font>
      <fill>
        <patternFill patternType="solid">
          <fgColor rgb="00FFEBEE"/>
          <b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Capital Deployment (€M)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A2463"/>
            </a:solidFill>
            <a:ln>
              <a:prstDash val="solid"/>
            </a:ln>
          </spPr>
          <cat>
            <numRef>
              <f>'Dashboard'!$B$40:$E$40</f>
            </numRef>
          </cat>
          <val>
            <numRef>
              <f>'Dashboard'!$B$41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'Dashboard'!$B$40:$E$40</f>
            </numRef>
          </cat>
          <val>
            <numRef>
              <f>'Dashboard'!$C$41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'Dashboard'!$B$40:$E$40</f>
            </numRef>
          </cat>
          <val>
            <numRef>
              <f>'Dashboard'!$D$41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'Dashboard'!$B$40:$E$40</f>
            </numRef>
          </cat>
          <val>
            <numRef>
              <f>'Dashboard'!$E$41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Sector Allocation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'Dashboard'!$B$43:$C$43</f>
            </numRef>
          </cat>
          <val>
            <numRef>
              <f>'Dashboard'!$B$44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'Dashboard'!$B$43:$C$43</f>
            </numRef>
          </cat>
          <val>
            <numRef>
              <f>'Dashboard'!$C$44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Operating Cash Flow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solidFill>
              <a:srgbClr val="1565C0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'Dashboard'!$B$47</f>
            </numRef>
          </val>
        </ser>
        <ser>
          <idx val="1"/>
          <order val="1"/>
          <tx>
            <v>Expenses</v>
          </tx>
          <spPr>
            <a:solidFill>
              <a:srgbClr val="E53935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'Dashboard'!$C$47</f>
            </numRef>
          </val>
        </ser>
        <ser>
          <idx val="2"/>
          <order val="2"/>
          <tx>
            <v>Net CF</v>
          </tx>
          <spPr>
            <a:solidFill>
              <a:srgbClr val="3BBA9C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'Dashboard'!$D$47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'Dashboard'!$B$48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'Dashboard'!$C$48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'Dashboard'!$D$48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'Dashboard'!$B$49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'Dashboard'!$C$49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'Dashboard'!$B$46:$D$46</f>
            </numRef>
          </cat>
          <val>
            <numRef>
              <f>'Dashboard'!$D$49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Expenses vs Net Cash Flow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solidFill>
              <a:srgbClr val="1565C0"/>
            </a:solidFill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Plan'!$B$50</f>
            </numRef>
          </val>
        </ser>
        <ser>
          <idx val="1"/>
          <order val="1"/>
          <tx>
            <v>Expenses</v>
          </tx>
          <spPr>
            <a:solidFill>
              <a:srgbClr val="E53935"/>
            </a:solidFill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Plan'!$C$50</f>
            </numRef>
          </val>
        </ser>
        <ser>
          <idx val="2"/>
          <order val="2"/>
          <tx>
            <v>Net CF</v>
          </tx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Plan'!$D$50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Plan'!$B$51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Plan'!$C$51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Plan'!$D$51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Plan'!$B$52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Plan'!$C$52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Plan'!$D$52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AUM Growth (€)</a:t>
            </a:r>
          </a:p>
        </rich>
      </tx>
    </title>
    <plotArea>
      <areaChart>
        <grouping val="standard"/>
        <ser>
          <idx val="0"/>
          <order val="0"/>
          <tx>
            <v>AUM</v>
          </tx>
          <spPr>
            <a:solidFill>
              <a:srgbClr val="3BBA9C"/>
            </a:solidFill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Plan'!$B$53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Plan'!$C$53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'3-Year Operating Plan'!$B$49:$D$49</f>
            </numRef>
          </cat>
          <val>
            <numRef>
              <f>'3-Year Operating Plan'!$D$53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Sector Allocation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'Portfolio Construction'!$A$54:$A$55</f>
            </numRef>
          </cat>
          <val>
            <numRef>
              <f>'Portfolio Construction'!$B$54:$B$55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LP Net Multiple by Scenario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565C0"/>
            </a:solidFill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Analysis'!$B$50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Analysis'!$C$50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Analysis'!$D$50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Multiple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GP Economics by Scenario (€)</a:t>
            </a:r>
          </a:p>
        </rich>
      </tx>
    </title>
    <plotArea>
      <barChart>
        <barDir val="col"/>
        <grouping val="stacked"/>
        <ser>
          <idx val="0"/>
          <order val="0"/>
          <tx>
            <v>Mgmt Fees</v>
          </tx>
          <spPr>
            <a:solidFill>
              <a:srgbClr val="1565C0"/>
            </a:solidFill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Analysis'!$B$52</f>
            </numRef>
          </val>
        </ser>
        <ser>
          <idx val="1"/>
          <order val="1"/>
          <tx>
            <v>Carry</v>
          </tx>
          <spPr>
            <a:solidFill>
              <a:srgbClr val="3BBA9C"/>
            </a:solidFill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Analysis'!$C$52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Analysis'!$D$52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Analysis'!$B$53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Analysis'!$C$53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'Scenario Analysis'!$B$49:$D$49</f>
            </numRef>
          </cat>
          <val>
            <numRef>
              <f>'Scenario Analysis'!$D$53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3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39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20</row>
      <rowOff>0</rowOff>
    </from>
    <ext cx="43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0A2463"/>
    <outlinePr summaryBelow="1" summaryRight="1"/>
    <pageSetUpPr/>
  </sheetPr>
  <dimension ref="A2:I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18" customWidth="1" min="9" max="9"/>
    <col width="2" customWidth="1" min="10" max="10"/>
  </cols>
  <sheetData>
    <row r="1" ht="8" customHeight="1"/>
    <row r="2" ht="55" customHeight="1">
      <c r="B2" s="1" t="inlineStr">
        <is>
          <t>INFLECTION VENTURES FUND I
Financial Model  ·  Executive Summary</t>
        </is>
      </c>
    </row>
    <row r="3" ht="22" customHeight="1">
      <c r="B3" s="2" t="inlineStr">
        <is>
          <t>Luxembourg ELTIF 2.0  ·  Longevity &amp; Space Economy  ·  Launch: Q2 2026</t>
        </is>
      </c>
      <c r="G3" s="3" t="inlineStr">
        <is>
          <t>Status:</t>
        </is>
      </c>
      <c r="I3" s="4" t="inlineStr">
        <is>
          <t>Fundraising</t>
        </is>
      </c>
    </row>
    <row r="4" ht="8" customHeight="1"/>
    <row r="5" ht="22" customHeight="1">
      <c r="B5" s="5" t="inlineStr">
        <is>
          <t>CAPITAL</t>
        </is>
      </c>
      <c r="D5" s="5" t="inlineStr">
        <is>
          <t>INVESTORS</t>
        </is>
      </c>
      <c r="F5" s="5" t="inlineStr">
        <is>
          <t>PORTFOLIO</t>
        </is>
      </c>
      <c r="H5" s="5" t="inlineStr">
        <is>
          <t>PERFORMANCE (Projected)</t>
        </is>
      </c>
    </row>
    <row r="6" ht="20" customHeight="1">
      <c r="B6" s="6" t="inlineStr">
        <is>
          <t>Target Fund Size</t>
        </is>
      </c>
      <c r="C6" s="7" t="inlineStr">
        <is>
          <t>€3.0M – €5.0M</t>
        </is>
      </c>
      <c r="D6" s="6" t="inlineStr">
        <is>
          <t>Target Investors</t>
        </is>
      </c>
      <c r="E6" s="7" t="inlineStr">
        <is>
          <t>300 – 500</t>
        </is>
      </c>
      <c r="F6" s="6" t="inlineStr">
        <is>
          <t>Target Companies</t>
        </is>
      </c>
      <c r="G6" s="7" t="inlineStr">
        <is>
          <t>15 – 20</t>
        </is>
      </c>
      <c r="H6" s="6" t="inlineStr">
        <is>
          <t>Target MOIC</t>
        </is>
      </c>
      <c r="I6" s="7" t="inlineStr">
        <is>
          <t>3x – 5x</t>
        </is>
      </c>
    </row>
    <row r="7" ht="20" customHeight="1">
      <c r="B7" s="6" t="inlineStr">
        <is>
          <t>Capital Raised</t>
        </is>
      </c>
      <c r="C7" s="8">
        <f>'3-Year Operating Plan'!B6+'3-Year Operating Plan'!C6+'3-Year Operating Plan'!D6</f>
        <v/>
      </c>
      <c r="D7" s="6" t="inlineStr">
        <is>
          <t>Avg Commitment</t>
        </is>
      </c>
      <c r="E7" s="8">
        <f>FundSize/350</f>
        <v/>
      </c>
      <c r="F7" s="6" t="inlineStr">
        <is>
          <t>Current Companies</t>
        </is>
      </c>
      <c r="G7" s="9">
        <f>'Portfolio Construction'!B37</f>
        <v/>
      </c>
      <c r="H7" s="6" t="inlineStr">
        <is>
          <t>Target IRR</t>
        </is>
      </c>
      <c r="I7" s="7" t="inlineStr">
        <is>
          <t>25% – 35%</t>
        </is>
      </c>
    </row>
    <row r="8" ht="20" customHeight="1">
      <c r="B8" s="6" t="inlineStr">
        <is>
          <t>Capital Deployed</t>
        </is>
      </c>
      <c r="C8" s="8">
        <f>ABS('3-Year Operating Plan'!B7+'3-Year Operating Plan'!C7+'3-Year Operating Plan'!D7)</f>
        <v/>
      </c>
      <c r="D8" s="6" t="inlineStr">
        <is>
          <t>Min Investment</t>
        </is>
      </c>
      <c r="E8" s="7" t="inlineStr">
        <is>
          <t>€10,000</t>
        </is>
      </c>
      <c r="F8" s="6" t="inlineStr">
        <is>
          <t>Total Deployed</t>
        </is>
      </c>
      <c r="G8" s="8">
        <f>'Portfolio Construction'!B36</f>
        <v/>
      </c>
      <c r="H8" s="6" t="inlineStr">
        <is>
          <t>Management Fee</t>
        </is>
      </c>
      <c r="I8" s="7" t="inlineStr">
        <is>
          <t>1.5%</t>
        </is>
      </c>
    </row>
    <row r="9" ht="20" customHeight="1">
      <c r="B9" s="6" t="inlineStr">
        <is>
          <t>Available Capital</t>
        </is>
      </c>
      <c r="C9" s="7">
        <f>B8-B9</f>
        <v/>
      </c>
      <c r="D9" s="6" t="inlineStr">
        <is>
          <t>Fund Duration</t>
        </is>
      </c>
      <c r="E9" s="7" t="inlineStr">
        <is>
          <t>10 years</t>
        </is>
      </c>
      <c r="F9" s="6" t="inlineStr">
        <is>
          <t>Portfolio MOIC</t>
        </is>
      </c>
      <c r="G9" s="10">
        <f>'Portfolio Construction'!B40</f>
        <v/>
      </c>
      <c r="H9" s="6" t="inlineStr">
        <is>
          <t>Carried Interest</t>
        </is>
      </c>
      <c r="I9" s="7" t="inlineStr">
        <is>
          <t>25%</t>
        </is>
      </c>
    </row>
    <row r="10" ht="20" customHeight="1">
      <c r="B10" s="6" t="inlineStr">
        <is>
          <t>Min Investment</t>
        </is>
      </c>
      <c r="C10" s="7" t="inlineStr">
        <is>
          <t>€10,000</t>
        </is>
      </c>
      <c r="D10" s="6" t="inlineStr">
        <is>
          <t>Structure</t>
        </is>
      </c>
      <c r="E10" s="7" t="inlineStr">
        <is>
          <t>ELTIF 2.0</t>
        </is>
      </c>
      <c r="F10" s="6" t="inlineStr">
        <is>
          <t>Avg Initial Ticket</t>
        </is>
      </c>
      <c r="G10" s="8">
        <f>'Assumptions &amp; Inputs'!B22</f>
        <v/>
      </c>
      <c r="H10" s="6" t="inlineStr">
        <is>
          <t>Hurdle Rate</t>
        </is>
      </c>
      <c r="I10" s="7" t="inlineStr">
        <is>
          <t>8.0%</t>
        </is>
      </c>
    </row>
    <row r="11" ht="8" customHeight="1"/>
    <row r="12" ht="22" customHeight="1">
      <c r="B12" s="11" t="inlineStr">
        <is>
          <t>3-YEAR FINANCIAL SUMMARY</t>
        </is>
      </c>
    </row>
    <row r="13" ht="20" customHeight="1">
      <c r="B13" s="12" t="inlineStr">
        <is>
          <t>Metric</t>
        </is>
      </c>
      <c r="D13" s="12" t="inlineStr">
        <is>
          <t>Year 1</t>
        </is>
      </c>
      <c r="F13" s="12" t="inlineStr">
        <is>
          <t>Year 2</t>
        </is>
      </c>
      <c r="H13" s="12" t="inlineStr">
        <is>
          <t>Year 3</t>
        </is>
      </c>
    </row>
    <row r="14" ht="20" customHeight="1">
      <c r="B14" s="13" t="inlineStr">
        <is>
          <t>AUM (Average, €)</t>
        </is>
      </c>
      <c r="D14" s="14">
        <f>'3-Year Operating Plan'!B9</f>
        <v/>
      </c>
      <c r="F14" s="14">
        <f>'3-Year Operating Plan'!C9</f>
        <v/>
      </c>
      <c r="H14" s="14">
        <f>'3-Year Operating Plan'!D9</f>
        <v/>
      </c>
    </row>
    <row r="15" ht="20" customHeight="1">
      <c r="B15" s="15" t="inlineStr">
        <is>
          <t>Management Fees (€)</t>
        </is>
      </c>
      <c r="D15" s="16">
        <f>'3-Year Operating Plan'!B12</f>
        <v/>
      </c>
      <c r="F15" s="16">
        <f>'3-Year Operating Plan'!C12</f>
        <v/>
      </c>
      <c r="H15" s="16">
        <f>'3-Year Operating Plan'!D12</f>
        <v/>
      </c>
    </row>
    <row r="16" ht="20" customHeight="1">
      <c r="B16" s="13" t="inlineStr">
        <is>
          <t>Operating Expenses (€)</t>
        </is>
      </c>
      <c r="D16" s="14">
        <f>'3-Year Operating Plan'!B27</f>
        <v/>
      </c>
      <c r="F16" s="14">
        <f>'3-Year Operating Plan'!C27</f>
        <v/>
      </c>
      <c r="H16" s="14">
        <f>'3-Year Operating Plan'!D27</f>
        <v/>
      </c>
    </row>
    <row r="17" ht="20" customHeight="1">
      <c r="B17" s="15" t="inlineStr">
        <is>
          <t>Net Cash Flow (€)</t>
        </is>
      </c>
      <c r="D17" s="16">
        <f>'3-Year Operating Plan'!B29</f>
        <v/>
      </c>
      <c r="F17" s="16">
        <f>'3-Year Operating Plan'!C29</f>
        <v/>
      </c>
      <c r="H17" s="16">
        <f>'3-Year Operating Plan'!D29</f>
        <v/>
      </c>
    </row>
    <row r="18" ht="20" customHeight="1">
      <c r="B18" s="17" t="inlineStr">
        <is>
          <t>Cumulative Cash Flow (€)</t>
        </is>
      </c>
      <c r="D18" s="18">
        <f>'3-Year Operating Plan'!B30</f>
        <v/>
      </c>
      <c r="F18" s="18">
        <f>'3-Year Operating Plan'!C30</f>
        <v/>
      </c>
      <c r="H18" s="18">
        <f>'3-Year Operating Plan'!D30</f>
        <v/>
      </c>
    </row>
    <row r="19" ht="8" customHeight="1"/>
    <row r="20" ht="22" customHeight="1">
      <c r="B20" s="11" t="inlineStr">
        <is>
          <t>VISUAL OVERVIEW</t>
        </is>
      </c>
    </row>
    <row r="38" ht="18" customHeight="1">
      <c r="B38" s="19" t="inlineStr">
        <is>
          <t>Model Version: 1.0  ·  Last Updated: March 2026</t>
        </is>
      </c>
      <c r="E38" s="20" t="inlineStr">
        <is>
          <t>→ Fund Economics</t>
        </is>
      </c>
      <c r="F38" s="20" t="inlineStr">
        <is>
          <t>→ Operating Plan</t>
        </is>
      </c>
      <c r="G38" s="20" t="inlineStr">
        <is>
          <t>→ Portfolio</t>
        </is>
      </c>
      <c r="H38" s="20" t="inlineStr">
        <is>
          <t>→ Scenarios</t>
        </is>
      </c>
      <c r="I38" s="20" t="inlineStr">
        <is>
          <t>→ Inv. Calc</t>
        </is>
      </c>
    </row>
    <row r="40" ht="14" customHeight="1">
      <c r="A40" s="21" t="inlineStr"/>
      <c r="B40" s="21" t="inlineStr">
        <is>
          <t>Year 1</t>
        </is>
      </c>
      <c r="C40" s="21" t="inlineStr">
        <is>
          <t>Year 2</t>
        </is>
      </c>
      <c r="D40" s="21" t="inlineStr">
        <is>
          <t>Year 3</t>
        </is>
      </c>
      <c r="E40" s="21" t="inlineStr">
        <is>
          <t>Year 4</t>
        </is>
      </c>
    </row>
    <row r="41">
      <c r="A41" s="22" t="inlineStr">
        <is>
          <t>Deployed (€M)</t>
        </is>
      </c>
      <c r="B41" t="n">
        <v>0.5</v>
      </c>
      <c r="C41" t="n">
        <v>1.5</v>
      </c>
      <c r="D41" t="n">
        <v>2</v>
      </c>
      <c r="E41" t="n">
        <v>1</v>
      </c>
    </row>
    <row r="43" ht="14" customHeight="1">
      <c r="A43" s="21" t="inlineStr"/>
      <c r="B43" s="21" t="inlineStr">
        <is>
          <t>Longevity</t>
        </is>
      </c>
      <c r="C43" s="21" t="inlineStr">
        <is>
          <t>Space</t>
        </is>
      </c>
    </row>
    <row r="44">
      <c r="A44" s="22" t="inlineStr">
        <is>
          <t>Allocation</t>
        </is>
      </c>
      <c r="B44" t="n">
        <v>0.5</v>
      </c>
      <c r="C44" t="n">
        <v>0.5</v>
      </c>
    </row>
    <row r="46" ht="14" customHeight="1">
      <c r="A46" s="21" t="inlineStr"/>
      <c r="B46" s="21" t="inlineStr">
        <is>
          <t>Year 1</t>
        </is>
      </c>
      <c r="C46" s="21" t="inlineStr">
        <is>
          <t>Year 2</t>
        </is>
      </c>
      <c r="D46" s="21" t="inlineStr">
        <is>
          <t>Year 3</t>
        </is>
      </c>
    </row>
    <row r="47">
      <c r="A47" s="22" t="inlineStr">
        <is>
          <t>Revenue</t>
        </is>
      </c>
      <c r="B47">
        <f>'3-Year Operating Plan'!B12</f>
        <v/>
      </c>
      <c r="C47">
        <f>'3-Year Operating Plan'!C12</f>
        <v/>
      </c>
      <c r="D47">
        <f>'3-Year Operating Plan'!D12</f>
        <v/>
      </c>
    </row>
    <row r="48">
      <c r="A48" s="22" t="inlineStr">
        <is>
          <t>Expenses</t>
        </is>
      </c>
      <c r="B48">
        <f>'3-Year Operating Plan'!B27</f>
        <v/>
      </c>
      <c r="C48">
        <f>'3-Year Operating Plan'!C27</f>
        <v/>
      </c>
      <c r="D48">
        <f>'3-Year Operating Plan'!D27</f>
        <v/>
      </c>
    </row>
    <row r="49">
      <c r="A49" s="22" t="inlineStr">
        <is>
          <t>Net CF</t>
        </is>
      </c>
      <c r="B49">
        <f>'3-Year Operating Plan'!B29</f>
        <v/>
      </c>
      <c r="C49">
        <f>'3-Year Operating Plan'!C29</f>
        <v/>
      </c>
      <c r="D49">
        <f>'3-Year Operating Plan'!D29</f>
        <v/>
      </c>
    </row>
  </sheetData>
  <mergeCells count="34">
    <mergeCell ref="B16:C16"/>
    <mergeCell ref="F16:G16"/>
    <mergeCell ref="B3:F3"/>
    <mergeCell ref="B18:C18"/>
    <mergeCell ref="B38:D38"/>
    <mergeCell ref="B12:I12"/>
    <mergeCell ref="F15:G15"/>
    <mergeCell ref="D13:E13"/>
    <mergeCell ref="B2:I2"/>
    <mergeCell ref="F5:G5"/>
    <mergeCell ref="F18:G18"/>
    <mergeCell ref="B14:C14"/>
    <mergeCell ref="B17:C17"/>
    <mergeCell ref="D17:E17"/>
    <mergeCell ref="G3:H3"/>
    <mergeCell ref="F17:G17"/>
    <mergeCell ref="H17:I17"/>
    <mergeCell ref="B13:C13"/>
    <mergeCell ref="D16:E16"/>
    <mergeCell ref="H16:I16"/>
    <mergeCell ref="F13:G13"/>
    <mergeCell ref="D18:E18"/>
    <mergeCell ref="H13:I13"/>
    <mergeCell ref="B15:C15"/>
    <mergeCell ref="D15:E15"/>
    <mergeCell ref="B5:C5"/>
    <mergeCell ref="B20:I20"/>
    <mergeCell ref="D5:E5"/>
    <mergeCell ref="H15:I15"/>
    <mergeCell ref="H18:I18"/>
    <mergeCell ref="D14:E14"/>
    <mergeCell ref="H5:I5"/>
    <mergeCell ref="F14:G14"/>
    <mergeCell ref="H14:I14"/>
  </mergeCells>
  <dataValidations count="1">
    <dataValidation sqref="I3" showDropDown="0" showInputMessage="0" showErrorMessage="0" allowBlank="0" type="list">
      <formula1>"Fundraising,Deployed,Exited"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" customWidth="1" min="3" max="3"/>
    <col width="36" customWidth="1" min="4" max="4"/>
    <col width="18" customWidth="1" min="5" max="5"/>
  </cols>
  <sheetData>
    <row r="1" ht="28" customHeight="1">
      <c r="A1" s="23" t="inlineStr">
        <is>
          <t>FUND ECONOMICS</t>
        </is>
      </c>
      <c r="B1" s="24" t="n"/>
      <c r="C1" s="24" t="n"/>
      <c r="D1" s="24" t="n"/>
      <c r="E1" s="25" t="n"/>
    </row>
    <row r="2" ht="6" customHeight="1"/>
    <row r="3" ht="20" customHeight="1">
      <c r="A3" s="26" t="inlineStr">
        <is>
          <t>A. FUND TERMS — INPUT SECTION</t>
        </is>
      </c>
      <c r="B3" s="27" t="n"/>
      <c r="C3" s="27" t="n"/>
      <c r="D3" s="27" t="n"/>
      <c r="E3" s="28" t="n"/>
    </row>
    <row r="4">
      <c r="A4" s="29" t="inlineStr">
        <is>
          <t>Parameter</t>
        </is>
      </c>
      <c r="B4" s="29" t="inlineStr">
        <is>
          <t>Value</t>
        </is>
      </c>
      <c r="D4" s="29" t="inlineStr">
        <is>
          <t>Notes</t>
        </is>
      </c>
    </row>
    <row r="5" ht="18" customHeight="1">
      <c r="A5" s="30" t="inlineStr">
        <is>
          <t>Fund Size (€)</t>
        </is>
      </c>
      <c r="B5" s="31">
        <f>FundSize</f>
        <v/>
      </c>
      <c r="D5" s="32" t="inlineStr">
        <is>
          <t>Linked from Assumptions</t>
        </is>
      </c>
    </row>
    <row r="6" ht="18" customHeight="1">
      <c r="A6" s="33" t="inlineStr">
        <is>
          <t>Management Fee (%)</t>
        </is>
      </c>
      <c r="B6" s="34">
        <f>MgmtFee</f>
        <v/>
      </c>
      <c r="D6" s="32" t="inlineStr">
        <is>
          <t>Annual on committed capital</t>
        </is>
      </c>
    </row>
    <row r="7" ht="18" customHeight="1">
      <c r="A7" s="30" t="inlineStr">
        <is>
          <t>Carried Interest (%)</t>
        </is>
      </c>
      <c r="B7" s="34">
        <f>CarryRate</f>
        <v/>
      </c>
      <c r="D7" s="32" t="inlineStr">
        <is>
          <t>Above hurdle rate</t>
        </is>
      </c>
    </row>
    <row r="8" ht="18" customHeight="1">
      <c r="A8" s="33" t="inlineStr">
        <is>
          <t>Hurdle Rate (%)</t>
        </is>
      </c>
      <c r="B8" s="34">
        <f>HurdleRate</f>
        <v/>
      </c>
      <c r="D8" s="32" t="inlineStr">
        <is>
          <t>Annual preferred return</t>
        </is>
      </c>
    </row>
    <row r="9" ht="18" customHeight="1">
      <c r="A9" s="30" t="inlineStr">
        <is>
          <t>Fund Duration (years)</t>
        </is>
      </c>
      <c r="B9" s="35" t="n">
        <v>10</v>
      </c>
      <c r="D9" s="32" t="inlineStr">
        <is>
          <t>Plus possible extensions</t>
        </is>
      </c>
    </row>
    <row r="10" ht="18" customHeight="1">
      <c r="A10" s="33" t="inlineStr">
        <is>
          <t>Investment Period (yrs)</t>
        </is>
      </c>
      <c r="B10" s="36" t="n">
        <v>4</v>
      </c>
      <c r="D10" s="32" t="inlineStr">
        <is>
          <t>Active deployment</t>
        </is>
      </c>
    </row>
    <row r="11" ht="6" customHeight="1"/>
    <row r="12" ht="18" customHeight="1">
      <c r="A12" s="26" t="inlineStr">
        <is>
          <t>CALCULATED FUND METRICS</t>
        </is>
      </c>
      <c r="B12" s="27" t="n"/>
      <c r="C12" s="27" t="n"/>
      <c r="D12" s="27" t="n"/>
      <c r="E12" s="28" t="n"/>
    </row>
    <row r="13" ht="18" customHeight="1">
      <c r="A13" s="37" t="inlineStr">
        <is>
          <t>Annual Management Fee</t>
        </is>
      </c>
      <c r="B13" s="38">
        <f>B5*B6</f>
        <v/>
      </c>
      <c r="D13" s="39" t="inlineStr">
        <is>
          <t>→ Auto-calculated from inputs above</t>
        </is>
      </c>
    </row>
    <row r="14" ht="18" customHeight="1">
      <c r="A14" s="37" t="inlineStr">
        <is>
          <t>Total Mgmt Fees (10 years)</t>
        </is>
      </c>
      <c r="B14" s="38">
        <f>B13*B9</f>
        <v/>
      </c>
      <c r="D14" s="39" t="inlineStr">
        <is>
          <t>→ Auto-calculated from inputs above</t>
        </is>
      </c>
    </row>
    <row r="15" ht="18" customHeight="1">
      <c r="A15" s="37" t="inlineStr">
        <is>
          <t>Capital Available to Invest</t>
        </is>
      </c>
      <c r="B15" s="38">
        <f>B5*(1-0.02)</f>
        <v/>
      </c>
      <c r="D15" s="39" t="inlineStr">
        <is>
          <t>→ Auto-calculated from inputs above</t>
        </is>
      </c>
    </row>
    <row r="16" ht="6" customHeight="1"/>
    <row r="17" ht="20" customHeight="1">
      <c r="A17" s="26" t="inlineStr">
        <is>
          <t>B. LP ECONOMICS CALCULATOR</t>
        </is>
      </c>
      <c r="B17" s="27" t="n"/>
      <c r="C17" s="27" t="n"/>
      <c r="D17" s="27" t="n"/>
      <c r="E17" s="28" t="n"/>
    </row>
    <row r="18" ht="14" customHeight="1">
      <c r="A18" s="40" t="inlineStr">
        <is>
          <t>Adjust the yellow cells to model different investor scenarios</t>
        </is>
      </c>
    </row>
    <row r="19" ht="6" customHeight="1"/>
    <row r="20">
      <c r="A20" s="29" t="inlineStr">
        <is>
          <t>Scenario Input</t>
        </is>
      </c>
      <c r="B20" s="29" t="inlineStr">
        <is>
          <t>Value</t>
        </is>
      </c>
      <c r="D20" s="29" t="inlineStr">
        <is>
          <t>What it means</t>
        </is>
      </c>
    </row>
    <row r="21" ht="18" customHeight="1">
      <c r="A21" s="39" t="inlineStr">
        <is>
          <t>Investment Amount (€)</t>
        </is>
      </c>
      <c r="B21" s="31" t="n">
        <v>10000</v>
      </c>
      <c r="D21" s="32" t="inlineStr">
        <is>
          <t>Minimum: €10,000</t>
        </is>
      </c>
    </row>
    <row r="22" ht="18" customHeight="1">
      <c r="A22" s="39" t="inlineStr">
        <is>
          <t>Portfolio MOIC</t>
        </is>
      </c>
      <c r="B22" s="41" t="n">
        <v>3</v>
      </c>
      <c r="D22" s="32" t="inlineStr">
        <is>
          <t>Expected gross fund multiple</t>
        </is>
      </c>
    </row>
    <row r="23" ht="18" customHeight="1">
      <c r="A23" s="39" t="inlineStr">
        <is>
          <t>Years to Exit</t>
        </is>
      </c>
      <c r="B23" s="42" t="n">
        <v>7</v>
      </c>
      <c r="D23" s="32" t="inlineStr">
        <is>
          <t>Average holding period</t>
        </is>
      </c>
    </row>
    <row r="24" ht="10" customHeight="1"/>
    <row r="25" ht="18" customHeight="1">
      <c r="A25" s="43" t="inlineStr">
        <is>
          <t>Portfolio Returns</t>
        </is>
      </c>
      <c r="B25" s="27" t="n"/>
      <c r="C25" s="27" t="n"/>
      <c r="D25" s="27" t="n"/>
      <c r="E25" s="28" t="n"/>
    </row>
    <row r="26" ht="18" customHeight="1">
      <c r="A26" s="39" t="inlineStr">
        <is>
          <t>Gross Return (before fees)</t>
        </is>
      </c>
      <c r="B26" s="44">
        <f>B21*B22</f>
        <v/>
      </c>
    </row>
    <row r="27" ht="18" customHeight="1">
      <c r="A27" s="39" t="inlineStr">
        <is>
          <t>Gross Profit</t>
        </is>
      </c>
      <c r="B27" s="44">
        <f>B26-B21</f>
        <v/>
      </c>
    </row>
    <row r="28" ht="10" customHeight="1"/>
    <row r="29" ht="18" customHeight="1">
      <c r="A29" s="43" t="inlineStr">
        <is>
          <t>Hurdle &amp; Carry Calculation</t>
        </is>
      </c>
      <c r="B29" s="27" t="n"/>
      <c r="C29" s="27" t="n"/>
      <c r="D29" s="27" t="n"/>
      <c r="E29" s="28" t="n"/>
    </row>
    <row r="30" ht="18" customHeight="1">
      <c r="A30" s="39" t="inlineStr">
        <is>
          <t>Hurdle Amount (8% × years, compound)</t>
        </is>
      </c>
      <c r="B30" s="44">
        <f>B21*((1+B8)^B23)-B21</f>
        <v/>
      </c>
    </row>
    <row r="31" ht="18" customHeight="1">
      <c r="A31" s="39" t="inlineStr">
        <is>
          <t>Profit Above Hurdle</t>
        </is>
      </c>
      <c r="B31" s="44">
        <f>MAX(0,B27-B30)</f>
        <v/>
      </c>
    </row>
    <row r="32" ht="18" customHeight="1">
      <c r="A32" s="39" t="inlineStr">
        <is>
          <t>GP Carry (25% of excess)</t>
        </is>
      </c>
      <c r="B32" s="44">
        <f>B31*B7</f>
        <v/>
      </c>
    </row>
    <row r="33" ht="18" customHeight="1">
      <c r="A33" s="39" t="inlineStr">
        <is>
          <t>LP Share of Excess (75%)</t>
        </is>
      </c>
      <c r="B33" s="44">
        <f>B31*(1-B7)</f>
        <v/>
      </c>
    </row>
    <row r="34" ht="10" customHeight="1"/>
    <row r="35" ht="18" customHeight="1">
      <c r="A35" s="45" t="inlineStr">
        <is>
          <t>LP Total Return</t>
        </is>
      </c>
      <c r="B35" s="27" t="n"/>
      <c r="C35" s="27" t="n"/>
      <c r="D35" s="27" t="n"/>
      <c r="E35" s="28" t="n"/>
    </row>
    <row r="36" ht="18" customHeight="1">
      <c r="A36" s="39" t="inlineStr">
        <is>
          <t>Return of Capital</t>
        </is>
      </c>
      <c r="B36" s="44">
        <f>B21</f>
        <v/>
      </c>
    </row>
    <row r="37" ht="18" customHeight="1">
      <c r="A37" s="39" t="inlineStr">
        <is>
          <t>Hurdle Return</t>
        </is>
      </c>
      <c r="B37" s="44">
        <f>B30</f>
        <v/>
      </c>
    </row>
    <row r="38" ht="18" customHeight="1">
      <c r="A38" s="39" t="inlineStr">
        <is>
          <t>75% of Excess Profit</t>
        </is>
      </c>
      <c r="B38" s="44">
        <f>B33</f>
        <v/>
      </c>
    </row>
    <row r="39" ht="18" customHeight="1">
      <c r="A39" s="37" t="inlineStr">
        <is>
          <t>LP TOTAL DISTRIBUTION</t>
        </is>
      </c>
      <c r="B39" s="46">
        <f>B36+B37+B38</f>
        <v/>
      </c>
    </row>
    <row r="40" ht="18" customHeight="1">
      <c r="A40" s="37" t="inlineStr">
        <is>
          <t>LP Net Multiple</t>
        </is>
      </c>
      <c r="B40" s="47">
        <f>B39/B21</f>
        <v/>
      </c>
    </row>
    <row r="41" ht="6" customHeight="1">
      <c r="A41" s="37" t="inlineStr">
        <is>
          <t>LP Net IRR (approx.)</t>
        </is>
      </c>
      <c r="B41" s="48">
        <f>(B39/B21)^(1/B23)-1</f>
        <v/>
      </c>
    </row>
    <row r="42" ht="20" customHeight="1">
      <c r="A42" s="26" t="inlineStr">
        <is>
          <t>C. GP ECONOMICS</t>
        </is>
      </c>
      <c r="B42" s="27" t="n"/>
      <c r="C42" s="27" t="n"/>
      <c r="D42" s="27" t="n"/>
      <c r="E42" s="28" t="n"/>
    </row>
    <row r="43">
      <c r="A43" s="29" t="inlineStr">
        <is>
          <t>Revenue Stream</t>
        </is>
      </c>
      <c r="B43" s="29" t="inlineStr">
        <is>
          <t>Amount</t>
        </is>
      </c>
      <c r="D43" s="29" t="inlineStr">
        <is>
          <t>Basis</t>
        </is>
      </c>
    </row>
    <row r="44" ht="18" customHeight="1">
      <c r="A44" s="37" t="inlineStr">
        <is>
          <t>Annual Management Fee</t>
        </is>
      </c>
      <c r="B44" s="44">
        <f>B13</f>
        <v/>
      </c>
      <c r="D44" s="32" t="inlineStr">
        <is>
          <t>Fund Size × 1.5%</t>
        </is>
      </c>
    </row>
    <row r="45" ht="18" customHeight="1">
      <c r="A45" s="37" t="inlineStr">
        <is>
          <t>Total Mgmt Fees (10 years)</t>
        </is>
      </c>
      <c r="B45" s="44">
        <f>B14</f>
        <v/>
      </c>
      <c r="D45" s="32" t="inlineStr">
        <is>
          <t>Annual Fee × 10</t>
        </is>
      </c>
    </row>
    <row r="46" ht="18" customHeight="1"/>
    <row r="47" ht="18" customHeight="1">
      <c r="A47" s="39" t="inlineStr">
        <is>
          <t>Fund Size (for carry calc)</t>
        </is>
      </c>
      <c r="B47" s="44">
        <f>B5</f>
        <v/>
      </c>
      <c r="D47" s="32" t="inlineStr">
        <is>
          <t>From inputs</t>
        </is>
      </c>
    </row>
    <row r="48" ht="18" customHeight="1">
      <c r="A48" s="39" t="inlineStr">
        <is>
          <t>Fund MOIC assumed</t>
        </is>
      </c>
      <c r="B48" s="49">
        <f>B22</f>
        <v/>
      </c>
      <c r="D48" s="32" t="inlineStr">
        <is>
          <t>From LP scenario above</t>
        </is>
      </c>
    </row>
    <row r="49" ht="18" customHeight="1">
      <c r="A49" s="39" t="inlineStr">
        <is>
          <t>Gross Fund Returns</t>
        </is>
      </c>
      <c r="B49" s="44">
        <f>B5*B22</f>
        <v/>
      </c>
      <c r="D49" s="32" t="inlineStr">
        <is>
          <t>Fund Size × MOIC</t>
        </is>
      </c>
    </row>
    <row r="50" ht="18" customHeight="1">
      <c r="A50" s="39" t="inlineStr">
        <is>
          <t>Gross Fund Profit</t>
        </is>
      </c>
      <c r="B50" s="44">
        <f>B49-B5</f>
        <v/>
      </c>
      <c r="D50" s="32" t="inlineStr">
        <is>
          <t>Returns − Fund Size</t>
        </is>
      </c>
    </row>
    <row r="51" ht="18" customHeight="1">
      <c r="A51" s="39" t="inlineStr">
        <is>
          <t>Hurdle to LPs (8%, 7yr avg)</t>
        </is>
      </c>
      <c r="B51" s="44">
        <f>B5*((1+B8)^7)-B5</f>
        <v/>
      </c>
      <c r="D51" s="32" t="inlineStr">
        <is>
          <t>Preferred return on entire fund</t>
        </is>
      </c>
    </row>
    <row r="52" ht="18" customHeight="1">
      <c r="A52" s="39" t="inlineStr">
        <is>
          <t>Profit Above Hurdle</t>
        </is>
      </c>
      <c r="B52" s="44">
        <f>MAX(0,B50-B51)</f>
        <v/>
      </c>
      <c r="D52" s="32" t="inlineStr"/>
    </row>
    <row r="53" ht="18" customHeight="1">
      <c r="A53" s="39" t="inlineStr">
        <is>
          <t>GP Carry (25%)</t>
        </is>
      </c>
      <c r="B53" s="44">
        <f>B52*B7</f>
        <v/>
      </c>
      <c r="D53" s="32" t="inlineStr">
        <is>
          <t>Carry on profit above hurdle</t>
        </is>
      </c>
    </row>
    <row r="54" ht="18" customHeight="1"/>
    <row r="55" ht="18" customHeight="1">
      <c r="A55" s="37" t="inlineStr">
        <is>
          <t>TOTAL GP COMPENSATION</t>
        </is>
      </c>
      <c r="B55" s="50">
        <f>B44+B53</f>
        <v/>
      </c>
      <c r="D55" s="32" t="inlineStr">
        <is>
          <t>Mgmt Fees + Carry</t>
        </is>
      </c>
    </row>
    <row r="56" ht="6" customHeight="1"/>
    <row r="57" ht="20" customHeight="1">
      <c r="A57" s="26" t="inlineStr">
        <is>
          <t>D. FEE COMPARISON TABLE</t>
        </is>
      </c>
      <c r="B57" s="27" t="n"/>
      <c r="C57" s="27" t="n"/>
      <c r="D57" s="27" t="n"/>
      <c r="E57" s="28" t="n"/>
    </row>
    <row r="58">
      <c r="A58" s="29" t="inlineStr">
        <is>
          <t>Fund Size</t>
        </is>
      </c>
      <c r="B58" s="29" t="inlineStr">
        <is>
          <t>Mgmt Fee (1.5%)</t>
        </is>
      </c>
      <c r="C58" s="29" t="inlineStr">
        <is>
          <t>Annual Revenue</t>
        </is>
      </c>
      <c r="D58" s="29" t="inlineStr">
        <is>
          <t>10-Year Total</t>
        </is>
      </c>
    </row>
    <row r="59" ht="18" customHeight="1">
      <c r="A59" s="30" t="inlineStr">
        <is>
          <t>€1M</t>
        </is>
      </c>
      <c r="B59" s="14" t="n">
        <v>15000</v>
      </c>
      <c r="C59" s="14" t="n">
        <v>15000</v>
      </c>
      <c r="D59" s="14" t="n">
        <v>150000</v>
      </c>
    </row>
    <row r="60" ht="18" customHeight="1">
      <c r="A60" s="33" t="inlineStr">
        <is>
          <t>€2M</t>
        </is>
      </c>
      <c r="B60" s="16" t="n">
        <v>30000</v>
      </c>
      <c r="C60" s="16" t="n">
        <v>30000</v>
      </c>
      <c r="D60" s="16" t="n">
        <v>300000</v>
      </c>
    </row>
    <row r="61" ht="18" customHeight="1">
      <c r="A61" s="30" t="inlineStr">
        <is>
          <t>€3M</t>
        </is>
      </c>
      <c r="B61" s="14" t="n">
        <v>45000</v>
      </c>
      <c r="C61" s="14" t="n">
        <v>45000</v>
      </c>
      <c r="D61" s="14" t="n">
        <v>450000</v>
      </c>
    </row>
    <row r="62" ht="18" customHeight="1">
      <c r="A62" s="33" t="inlineStr">
        <is>
          <t>€5M</t>
        </is>
      </c>
      <c r="B62" s="16" t="n">
        <v>75000</v>
      </c>
      <c r="C62" s="16" t="n">
        <v>75000</v>
      </c>
      <c r="D62" s="16" t="n">
        <v>750000</v>
      </c>
    </row>
  </sheetData>
  <mergeCells count="9">
    <mergeCell ref="A12:E12"/>
    <mergeCell ref="A29:E29"/>
    <mergeCell ref="A35:E35"/>
    <mergeCell ref="A57:E57"/>
    <mergeCell ref="A25:E25"/>
    <mergeCell ref="A42:E42"/>
    <mergeCell ref="A1:E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BA9C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28" customHeight="1">
      <c r="A1" s="23" t="inlineStr">
        <is>
          <t>3-YEAR OPERATING PLAN</t>
        </is>
      </c>
      <c r="B1" s="24" t="n"/>
      <c r="C1" s="24" t="n"/>
      <c r="D1" s="24" t="n"/>
      <c r="E1" s="25" t="n"/>
    </row>
    <row r="2" ht="6" customHeight="1"/>
    <row r="3" ht="20" customHeight="1">
      <c r="A3" s="26" t="inlineStr">
        <is>
          <t>A. REVENUE</t>
        </is>
      </c>
      <c r="B3" s="27" t="n"/>
      <c r="C3" s="27" t="n"/>
      <c r="D3" s="27" t="n"/>
      <c r="E3" s="28" t="n"/>
    </row>
    <row r="4">
      <c r="A4" s="29" t="inlineStr">
        <is>
          <t>Line Item</t>
        </is>
      </c>
      <c r="B4" s="29" t="inlineStr">
        <is>
          <t>Year 1</t>
        </is>
      </c>
      <c r="C4" s="29" t="inlineStr">
        <is>
          <t>Year 2</t>
        </is>
      </c>
      <c r="D4" s="29" t="inlineStr">
        <is>
          <t>Year 3</t>
        </is>
      </c>
      <c r="E4" s="29" t="inlineStr">
        <is>
          <t>Notes</t>
        </is>
      </c>
    </row>
    <row r="5" ht="18" customHeight="1">
      <c r="A5" s="17" t="inlineStr">
        <is>
          <t>Beginning AUM (€)</t>
        </is>
      </c>
      <c r="B5" s="44" t="n">
        <v>0</v>
      </c>
      <c r="C5" s="18">
        <f>D10</f>
        <v/>
      </c>
      <c r="D5" s="18">
        <f>E10</f>
        <v/>
      </c>
      <c r="E5" s="32" t="inlineStr">
        <is>
          <t>Carried from prior year</t>
        </is>
      </c>
    </row>
    <row r="6" ht="18" customHeight="1">
      <c r="A6" s="15" t="inlineStr">
        <is>
          <t>(+) Capital Raised (€)</t>
        </is>
      </c>
      <c r="B6" s="31" t="n">
        <v>2000000</v>
      </c>
      <c r="C6" s="31" t="n">
        <v>2000000</v>
      </c>
      <c r="D6" s="31" t="n">
        <v>1000000</v>
      </c>
      <c r="E6" s="32" t="inlineStr">
        <is>
          <t>User input – adjust as needed</t>
        </is>
      </c>
    </row>
    <row r="7" ht="18" customHeight="1">
      <c r="A7" s="13" t="inlineStr">
        <is>
          <t>(−) Capital Deployed (€)</t>
        </is>
      </c>
      <c r="B7" s="31" t="n">
        <v>-500000</v>
      </c>
      <c r="C7" s="31" t="n">
        <v>-1500000</v>
      </c>
      <c r="D7" s="31" t="n">
        <v>-2000000</v>
      </c>
      <c r="E7" s="32" t="inlineStr">
        <is>
          <t>Negative = outflow to portfolio</t>
        </is>
      </c>
    </row>
    <row r="8" ht="18" customHeight="1">
      <c r="A8" s="51" t="inlineStr">
        <is>
          <t>Ending AUM (€)</t>
        </is>
      </c>
      <c r="B8" s="52">
        <f>D5+D6+D7</f>
        <v/>
      </c>
      <c r="C8" s="52">
        <f>E5+E6+E7</f>
        <v/>
      </c>
      <c r="D8" s="52">
        <f>F5+F6+F7</f>
        <v/>
      </c>
      <c r="E8" s="32" t="inlineStr">
        <is>
          <t>Beginning + Raised + Deployed</t>
        </is>
      </c>
    </row>
    <row r="9" ht="18" customHeight="1">
      <c r="A9" s="17" t="inlineStr">
        <is>
          <t>Average AUM (€)</t>
        </is>
      </c>
      <c r="B9" s="18">
        <f>(D5+D8)/2</f>
        <v/>
      </c>
      <c r="C9" s="18">
        <f>(E5+E8)/2</f>
        <v/>
      </c>
      <c r="D9" s="18">
        <f>(F5+F8)/2</f>
        <v/>
      </c>
      <c r="E9" s="32" t="inlineStr">
        <is>
          <t>(Beginning + Ending) / 2</t>
        </is>
      </c>
    </row>
    <row r="10" ht="6" customHeight="1"/>
    <row r="11" ht="18" customHeight="1">
      <c r="A11" s="43" t="inlineStr">
        <is>
          <t>MANAGEMENT FEE REVENUE</t>
        </is>
      </c>
      <c r="B11" s="27" t="n"/>
      <c r="C11" s="27" t="n"/>
      <c r="D11" s="27" t="n"/>
      <c r="E11" s="28" t="n"/>
    </row>
    <row r="12" ht="18" customHeight="1">
      <c r="A12" s="37" t="inlineStr">
        <is>
          <t>Management Fee Revenue (1.5%)</t>
        </is>
      </c>
      <c r="B12" s="38">
        <f>B9*'Fund Economics'!B6</f>
        <v/>
      </c>
      <c r="C12" s="38">
        <f>C9*'Fund Economics'!B6</f>
        <v/>
      </c>
      <c r="D12" s="38">
        <f>D9*'Fund Economics'!B6</f>
        <v/>
      </c>
      <c r="E12" s="32" t="inlineStr">
        <is>
          <t>Avg AUM × 1.5%</t>
        </is>
      </c>
    </row>
    <row r="13" ht="18" customHeight="1">
      <c r="A13" s="37" t="inlineStr">
        <is>
          <t>Total Revenue</t>
        </is>
      </c>
      <c r="B13" s="38">
        <f>B12</f>
        <v/>
      </c>
      <c r="C13" s="38">
        <f>C12</f>
        <v/>
      </c>
      <c r="D13" s="38">
        <f>D12</f>
        <v/>
      </c>
      <c r="E13" s="32">
        <f> Management Fee</f>
        <v/>
      </c>
    </row>
    <row r="14" ht="6" customHeight="1"/>
    <row r="15" ht="20" customHeight="1">
      <c r="A15" s="26" t="inlineStr">
        <is>
          <t>B. OPERATING EXPENSES</t>
        </is>
      </c>
      <c r="B15" s="27" t="n"/>
      <c r="C15" s="27" t="n"/>
      <c r="D15" s="27" t="n"/>
      <c r="E15" s="28" t="n"/>
    </row>
    <row r="16">
      <c r="A16" s="29" t="inlineStr">
        <is>
          <t>Category</t>
        </is>
      </c>
      <c r="B16" s="29" t="inlineStr">
        <is>
          <t>Year 1</t>
        </is>
      </c>
      <c r="C16" s="29" t="inlineStr">
        <is>
          <t>Year 2</t>
        </is>
      </c>
      <c r="D16" s="29" t="inlineStr">
        <is>
          <t>Year 3</t>
        </is>
      </c>
      <c r="E16" s="29" t="inlineStr">
        <is>
          <t>Notes</t>
        </is>
      </c>
    </row>
    <row r="17" ht="18" customHeight="1">
      <c r="A17" s="13" t="inlineStr">
        <is>
          <t>Legal &amp; Compliance</t>
        </is>
      </c>
      <c r="B17" s="14">
        <f>'Assumptions &amp; Inputs'!B40</f>
        <v/>
      </c>
      <c r="C17" s="14">
        <f>'Assumptions &amp; Inputs'!C40</f>
        <v/>
      </c>
      <c r="D17" s="14">
        <f>'Assumptions &amp; Inputs'!D40</f>
        <v/>
      </c>
      <c r="E17" s="32" t="inlineStr">
        <is>
          <t>Fund counsel, regulatory</t>
        </is>
      </c>
    </row>
    <row r="18" ht="18" customHeight="1">
      <c r="A18" s="15" t="inlineStr">
        <is>
          <t>Fund Administration</t>
        </is>
      </c>
      <c r="B18" s="16">
        <f>'Assumptions &amp; Inputs'!B41</f>
        <v/>
      </c>
      <c r="C18" s="16">
        <f>'Assumptions &amp; Inputs'!C41</f>
        <v/>
      </c>
      <c r="D18" s="16">
        <f>'Assumptions &amp; Inputs'!D41</f>
        <v/>
      </c>
      <c r="E18" s="32" t="inlineStr">
        <is>
          <t>NAV, reporting, accounting</t>
        </is>
      </c>
    </row>
    <row r="19" ht="18" customHeight="1">
      <c r="A19" s="13" t="inlineStr">
        <is>
          <t>Auditor</t>
        </is>
      </c>
      <c r="B19" s="14">
        <f>'Assumptions &amp; Inputs'!B42</f>
        <v/>
      </c>
      <c r="C19" s="14">
        <f>'Assumptions &amp; Inputs'!C42</f>
        <v/>
      </c>
      <c r="D19" s="14">
        <f>'Assumptions &amp; Inputs'!D42</f>
        <v/>
      </c>
      <c r="E19" s="32" t="inlineStr">
        <is>
          <t>Annual audit</t>
        </is>
      </c>
    </row>
    <row r="20" ht="18" customHeight="1">
      <c r="A20" s="15" t="inlineStr">
        <is>
          <t>ELTIF Depositary</t>
        </is>
      </c>
      <c r="B20" s="16">
        <f>'Assumptions &amp; Inputs'!B43</f>
        <v/>
      </c>
      <c r="C20" s="16">
        <f>'Assumptions &amp; Inputs'!C43</f>
        <v/>
      </c>
      <c r="D20" s="16">
        <f>'Assumptions &amp; Inputs'!D43</f>
        <v/>
      </c>
      <c r="E20" s="32" t="inlineStr">
        <is>
          <t>Custody services</t>
        </is>
      </c>
    </row>
    <row r="21" ht="18" customHeight="1">
      <c r="A21" s="13" t="inlineStr">
        <is>
          <t>Platform &amp; Technology</t>
        </is>
      </c>
      <c r="B21" s="14">
        <f>'Assumptions &amp; Inputs'!B44</f>
        <v/>
      </c>
      <c r="C21" s="14">
        <f>'Assumptions &amp; Inputs'!C44</f>
        <v/>
      </c>
      <c r="D21" s="14">
        <f>'Assumptions &amp; Inputs'!D44</f>
        <v/>
      </c>
      <c r="E21" s="32" t="inlineStr">
        <is>
          <t>Investor portal, hosting</t>
        </is>
      </c>
    </row>
    <row r="22" ht="18" customHeight="1">
      <c r="A22" s="15" t="inlineStr">
        <is>
          <t>KYC/AML</t>
        </is>
      </c>
      <c r="B22" s="16">
        <f>'Assumptions &amp; Inputs'!B45</f>
        <v/>
      </c>
      <c r="C22" s="16">
        <f>'Assumptions &amp; Inputs'!C45</f>
        <v/>
      </c>
      <c r="D22" s="16">
        <f>'Assumptions &amp; Inputs'!D45</f>
        <v/>
      </c>
      <c r="E22" s="32" t="inlineStr">
        <is>
          <t>Onboarding (higher Y1)</t>
        </is>
      </c>
    </row>
    <row r="23" ht="18" customHeight="1">
      <c r="A23" s="13" t="inlineStr">
        <is>
          <t>Marketing &amp; Events</t>
        </is>
      </c>
      <c r="B23" s="14">
        <f>'Assumptions &amp; Inputs'!B46</f>
        <v/>
      </c>
      <c r="C23" s="14">
        <f>'Assumptions &amp; Inputs'!C46</f>
        <v/>
      </c>
      <c r="D23" s="14">
        <f>'Assumptions &amp; Inputs'!D46</f>
        <v/>
      </c>
      <c r="E23" s="32" t="inlineStr">
        <is>
          <t>Investor acquisition</t>
        </is>
      </c>
    </row>
    <row r="24" ht="18" customHeight="1">
      <c r="A24" s="15" t="inlineStr">
        <is>
          <t>Insurance (D&amp;O, E&amp;O)</t>
        </is>
      </c>
      <c r="B24" s="16">
        <f>'Assumptions &amp; Inputs'!B47</f>
        <v/>
      </c>
      <c r="C24" s="16">
        <f>'Assumptions &amp; Inputs'!C47</f>
        <v/>
      </c>
      <c r="D24" s="16">
        <f>'Assumptions &amp; Inputs'!D47</f>
        <v/>
      </c>
      <c r="E24" s="32" t="inlineStr"/>
    </row>
    <row r="25" ht="18" customHeight="1">
      <c r="A25" s="13" t="inlineStr">
        <is>
          <t>Bank Fees</t>
        </is>
      </c>
      <c r="B25" s="14">
        <f>'Assumptions &amp; Inputs'!B48</f>
        <v/>
      </c>
      <c r="C25" s="14">
        <f>'Assumptions &amp; Inputs'!C48</f>
        <v/>
      </c>
      <c r="D25" s="14">
        <f>'Assumptions &amp; Inputs'!D48</f>
        <v/>
      </c>
      <c r="E25" s="32" t="inlineStr">
        <is>
          <t>Account maintenance</t>
        </is>
      </c>
    </row>
    <row r="26" ht="18" customHeight="1">
      <c r="A26" s="15" t="inlineStr">
        <is>
          <t>Other / Contingency</t>
        </is>
      </c>
      <c r="B26" s="16">
        <f>'Assumptions &amp; Inputs'!B49</f>
        <v/>
      </c>
      <c r="C26" s="16">
        <f>'Assumptions &amp; Inputs'!C49</f>
        <v/>
      </c>
      <c r="D26" s="16">
        <f>'Assumptions &amp; Inputs'!D49</f>
        <v/>
      </c>
      <c r="E26" s="32" t="inlineStr">
        <is>
          <t>Buffer</t>
        </is>
      </c>
    </row>
    <row r="27" ht="18" customHeight="1">
      <c r="A27" s="53" t="inlineStr">
        <is>
          <t>TOTAL EXPENSES</t>
        </is>
      </c>
      <c r="B27" s="54">
        <f>SUM(B17:B26)</f>
        <v/>
      </c>
      <c r="C27" s="54">
        <f>SUM(C17:C26)</f>
        <v/>
      </c>
      <c r="D27" s="54">
        <f>SUM(D17:D26)</f>
        <v/>
      </c>
    </row>
    <row r="28" ht="6" customHeight="1"/>
    <row r="29" ht="20" customHeight="1">
      <c r="A29" s="26" t="inlineStr">
        <is>
          <t>C. CASH FLOW SUMMARY</t>
        </is>
      </c>
      <c r="B29" s="27" t="n"/>
      <c r="C29" s="27" t="n"/>
      <c r="D29" s="27" t="n"/>
      <c r="E29" s="28" t="n"/>
    </row>
    <row r="30">
      <c r="A30" s="29" t="inlineStr">
        <is>
          <t>Line Item</t>
        </is>
      </c>
      <c r="B30" s="29" t="inlineStr">
        <is>
          <t>Year 1</t>
        </is>
      </c>
      <c r="C30" s="29" t="inlineStr">
        <is>
          <t>Year 2</t>
        </is>
      </c>
      <c r="D30" s="29" t="inlineStr">
        <is>
          <t>Year 3</t>
        </is>
      </c>
    </row>
    <row r="31" ht="18" customHeight="1">
      <c r="A31" s="39" t="inlineStr">
        <is>
          <t>Revenue (Mgmt Fees)</t>
        </is>
      </c>
      <c r="B31" s="44">
        <f>B13</f>
        <v/>
      </c>
      <c r="C31" s="44">
        <f>C13</f>
        <v/>
      </c>
      <c r="D31" s="44">
        <f>D13</f>
        <v/>
      </c>
    </row>
    <row r="32" ht="18" customHeight="1">
      <c r="A32" s="39" t="inlineStr">
        <is>
          <t>Operating Expenses</t>
        </is>
      </c>
      <c r="B32" s="44">
        <f>B27</f>
        <v/>
      </c>
      <c r="C32" s="44">
        <f>C27</f>
        <v/>
      </c>
      <c r="D32" s="44">
        <f>D27</f>
        <v/>
      </c>
    </row>
    <row r="33" ht="18" customHeight="1">
      <c r="A33" s="37" t="inlineStr">
        <is>
          <t>Net Operating Cash Flow</t>
        </is>
      </c>
      <c r="B33" s="38">
        <f>B31-B32</f>
        <v/>
      </c>
      <c r="C33" s="38">
        <f>C31-C32</f>
        <v/>
      </c>
      <c r="D33" s="38">
        <f>D31-D32</f>
        <v/>
      </c>
    </row>
    <row r="34" ht="18" customHeight="1">
      <c r="A34" s="37" t="inlineStr">
        <is>
          <t>Cumulative Cash Flow</t>
        </is>
      </c>
      <c r="B34" s="38">
        <f>B33</f>
        <v/>
      </c>
      <c r="C34" s="38">
        <f>B34+C33</f>
        <v/>
      </c>
      <c r="D34" s="38">
        <f>C34+D33</f>
        <v/>
      </c>
    </row>
    <row r="35" ht="8" customHeight="1"/>
    <row r="36" ht="18" customHeight="1">
      <c r="A36" s="43" t="inlineStr">
        <is>
          <t>FUNDING GAP COVERAGE</t>
        </is>
      </c>
      <c r="B36" s="27" t="n"/>
      <c r="C36" s="27" t="n"/>
      <c r="D36" s="27" t="n"/>
      <c r="E36" s="28" t="n"/>
    </row>
    <row r="37" ht="18" customHeight="1">
      <c r="A37" s="39" t="inlineStr">
        <is>
          <t>Grant Funding (target)</t>
        </is>
      </c>
      <c r="B37" s="31" t="n">
        <v>30000</v>
      </c>
    </row>
    <row r="38" ht="18" customHeight="1">
      <c r="A38" s="39" t="inlineStr">
        <is>
          <t>GP Capital Contribution</t>
        </is>
      </c>
      <c r="B38" s="31" t="n">
        <v>20000</v>
      </c>
    </row>
    <row r="39" ht="18" customHeight="1">
      <c r="A39" s="37" t="inlineStr">
        <is>
          <t>Total Gap Coverage</t>
        </is>
      </c>
      <c r="B39" s="38">
        <f>B37+B38</f>
        <v/>
      </c>
    </row>
    <row r="40" ht="18" customHeight="1">
      <c r="A40" s="37" t="inlineStr">
        <is>
          <t>Adjusted Cumulative CF (Y3)</t>
        </is>
      </c>
      <c r="B40" s="38">
        <f>D34+B39</f>
        <v/>
      </c>
    </row>
    <row r="41" ht="6" customHeight="1"/>
    <row r="42" ht="20" customHeight="1">
      <c r="A42" s="26" t="inlineStr">
        <is>
          <t>D. BREAK-EVEN ANALYSIS</t>
        </is>
      </c>
      <c r="B42" s="27" t="n"/>
      <c r="C42" s="27" t="n"/>
      <c r="D42" s="27" t="n"/>
      <c r="E42" s="28" t="n"/>
    </row>
    <row r="43" ht="18" customHeight="1">
      <c r="A43" s="39" t="inlineStr">
        <is>
          <t>Average Annual Operating Expenses</t>
        </is>
      </c>
      <c r="B43" s="44">
        <f>AVERAGE(B27,C27,D27)</f>
        <v/>
      </c>
    </row>
    <row r="44" ht="18" customHeight="1">
      <c r="A44" s="39" t="inlineStr">
        <is>
          <t>Break-Even AUM (÷ 1.5% mgmt fee)</t>
        </is>
      </c>
      <c r="B44" s="55">
        <f>B43/MgmtFee</f>
        <v/>
      </c>
    </row>
    <row r="45" ht="18" customHeight="1">
      <c r="A45" s="56" t="inlineStr">
        <is>
          <t>→ Fund reaches operational break-even at this AUM level</t>
        </is>
      </c>
    </row>
    <row r="47" ht="6" customHeight="1"/>
    <row r="48">
      <c r="A48" s="57" t="inlineStr">
        <is>
          <t>CHART DATA (for charts below)</t>
        </is>
      </c>
    </row>
    <row r="49">
      <c r="A49" s="21" t="inlineStr"/>
      <c r="B49" s="21" t="inlineStr">
        <is>
          <t>Year 1</t>
        </is>
      </c>
      <c r="C49" s="21" t="inlineStr">
        <is>
          <t>Year 2</t>
        </is>
      </c>
      <c r="D49" s="21" t="inlineStr">
        <is>
          <t>Year 3</t>
        </is>
      </c>
    </row>
    <row r="50">
      <c r="A50" s="22" t="inlineStr">
        <is>
          <t>Revenue</t>
        </is>
      </c>
      <c r="B50">
        <f>B13</f>
        <v/>
      </c>
      <c r="C50">
        <f>C13</f>
        <v/>
      </c>
      <c r="D50">
        <f>D13</f>
        <v/>
      </c>
    </row>
    <row r="51">
      <c r="A51" s="22" t="inlineStr">
        <is>
          <t>Expenses</t>
        </is>
      </c>
      <c r="B51">
        <f>B27</f>
        <v/>
      </c>
      <c r="C51">
        <f>C27</f>
        <v/>
      </c>
      <c r="D51">
        <f>D27</f>
        <v/>
      </c>
    </row>
    <row r="52">
      <c r="A52" s="22" t="inlineStr">
        <is>
          <t>Net CF</t>
        </is>
      </c>
      <c r="B52">
        <f>B33</f>
        <v/>
      </c>
      <c r="C52">
        <f>C33</f>
        <v/>
      </c>
      <c r="D52">
        <f>D33</f>
        <v/>
      </c>
    </row>
    <row r="53">
      <c r="A53" s="22" t="inlineStr">
        <is>
          <t>AUM</t>
        </is>
      </c>
      <c r="B53">
        <f>B8</f>
        <v/>
      </c>
      <c r="C53">
        <f>C8</f>
        <v/>
      </c>
      <c r="D53">
        <f>D8</f>
        <v/>
      </c>
    </row>
  </sheetData>
  <mergeCells count="8">
    <mergeCell ref="A29:E29"/>
    <mergeCell ref="A15:E15"/>
    <mergeCell ref="A42:E42"/>
    <mergeCell ref="A11:E11"/>
    <mergeCell ref="A1:E1"/>
    <mergeCell ref="A45:E45"/>
    <mergeCell ref="A36:E36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K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0" customWidth="1" min="10" max="10"/>
    <col width="12" customWidth="1" min="11" max="11"/>
  </cols>
  <sheetData>
    <row r="1" ht="28" customHeight="1">
      <c r="A1" s="23" t="inlineStr">
        <is>
          <t>PORTFOLIO CONSTRUCTION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5" t="n"/>
    </row>
    <row r="2" ht="6" customHeight="1"/>
    <row r="3" ht="20" customHeight="1">
      <c r="A3" s="26" t="inlineStr">
        <is>
          <t>A. PORTFOLIO PARAMETERS</t>
        </is>
      </c>
      <c r="B3" s="27" t="n"/>
      <c r="C3" s="27" t="n"/>
      <c r="D3" s="27" t="n"/>
      <c r="E3" s="28" t="n"/>
    </row>
    <row r="4">
      <c r="A4" s="29" t="inlineStr">
        <is>
          <t>Parameter</t>
        </is>
      </c>
      <c r="B4" s="29" t="inlineStr">
        <is>
          <t>Value</t>
        </is>
      </c>
      <c r="C4" s="29" t="inlineStr">
        <is>
          <t>Notes</t>
        </is>
      </c>
      <c r="D4" s="27" t="n"/>
      <c r="E4" s="28" t="n"/>
    </row>
    <row r="5" ht="18" customHeight="1">
      <c r="A5" s="13" t="inlineStr">
        <is>
          <t>Total Fund Size (€)</t>
        </is>
      </c>
      <c r="B5" s="14">
        <f>FundSize</f>
        <v/>
      </c>
      <c r="C5" s="32" t="inlineStr">
        <is>
          <t>Linked from Assumptions</t>
        </is>
      </c>
      <c r="D5" s="27" t="n"/>
      <c r="E5" s="28" t="n"/>
    </row>
    <row r="6" ht="18" customHeight="1">
      <c r="A6" s="15" t="inlineStr">
        <is>
          <t>Target Companies</t>
        </is>
      </c>
      <c r="B6" s="42">
        <f>'Assumptions &amp; Inputs'!B19</f>
        <v/>
      </c>
      <c r="C6" s="32" t="inlineStr">
        <is>
          <t>Range 15–20</t>
        </is>
      </c>
      <c r="D6" s="27" t="n"/>
      <c r="E6" s="28" t="n"/>
    </row>
    <row r="7" ht="18" customHeight="1">
      <c r="A7" s="13" t="inlineStr">
        <is>
          <t>Follow-On Reserve (%)</t>
        </is>
      </c>
      <c r="B7" s="58">
        <f>'Assumptions &amp; Inputs'!B23</f>
        <v/>
      </c>
      <c r="C7" s="32" t="inlineStr">
        <is>
          <t>30% of fund</t>
        </is>
      </c>
      <c r="D7" s="27" t="n"/>
      <c r="E7" s="28" t="n"/>
    </row>
    <row r="8" ht="18" customHeight="1">
      <c r="A8" s="15" t="inlineStr">
        <is>
          <t>Capital for Initial Investments (€)</t>
        </is>
      </c>
      <c r="B8" s="16">
        <f>B5*(1-B7)</f>
        <v/>
      </c>
      <c r="C8" s="32" t="inlineStr">
        <is>
          <t>Fund × (1 − Follow-On %)</t>
        </is>
      </c>
      <c r="D8" s="27" t="n"/>
      <c r="E8" s="28" t="n"/>
    </row>
    <row r="9" ht="18" customHeight="1">
      <c r="A9" s="13" t="inlineStr">
        <is>
          <t>Avg Initial Ticket (€)</t>
        </is>
      </c>
      <c r="B9" s="14">
        <f>B8/B6</f>
        <v/>
      </c>
      <c r="C9" s="32" t="inlineStr">
        <is>
          <t>Initial Capital ÷ # Companies</t>
        </is>
      </c>
      <c r="D9" s="27" t="n"/>
      <c r="E9" s="28" t="n"/>
    </row>
    <row r="10" ht="18" customHeight="1">
      <c r="A10" s="15" t="inlineStr">
        <is>
          <t>Avg Follow-On per Company (€)</t>
        </is>
      </c>
      <c r="B10" s="16">
        <f>B5*B7/B6</f>
        <v/>
      </c>
      <c r="C10" s="32" t="inlineStr">
        <is>
          <t>Follow-On Capital ÷ # Companies</t>
        </is>
      </c>
      <c r="D10" s="27" t="n"/>
      <c r="E10" s="28" t="n"/>
    </row>
    <row r="11" ht="6" customHeight="1"/>
    <row r="12" ht="20" customHeight="1">
      <c r="A12" s="26" t="inlineStr">
        <is>
          <t>B. PORTFOLIO COMPANIES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n"/>
    </row>
    <row r="13">
      <c r="A13" s="29" t="inlineStr">
        <is>
          <t>#</t>
        </is>
      </c>
      <c r="B13" s="29" t="inlineStr">
        <is>
          <t>Company Name</t>
        </is>
      </c>
      <c r="C13" s="29" t="inlineStr">
        <is>
          <t>Sector</t>
        </is>
      </c>
      <c r="D13" s="29" t="inlineStr">
        <is>
          <t>Stage</t>
        </is>
      </c>
      <c r="E13" s="29" t="inlineStr">
        <is>
          <t>Inv. Date</t>
        </is>
      </c>
      <c r="F13" s="29" t="inlineStr">
        <is>
          <t>Initial Inv. (€)</t>
        </is>
      </c>
      <c r="G13" s="29" t="inlineStr">
        <is>
          <t>Follow-On (€)</t>
        </is>
      </c>
      <c r="H13" s="29" t="inlineStr">
        <is>
          <t>Total Inv. (€)</t>
        </is>
      </c>
      <c r="I13" s="29" t="inlineStr">
        <is>
          <t>Curr. Val. (€)</t>
        </is>
      </c>
      <c r="J13" s="29" t="inlineStr">
        <is>
          <t>MOIC</t>
        </is>
      </c>
      <c r="K13" s="29" t="inlineStr">
        <is>
          <t>Status</t>
        </is>
      </c>
    </row>
    <row r="14" ht="18" customHeight="1">
      <c r="A14" s="59" t="n">
        <v>1</v>
      </c>
      <c r="B14" s="60" t="n"/>
      <c r="C14" s="60" t="n"/>
      <c r="D14" s="60" t="n"/>
      <c r="E14" s="61" t="n"/>
      <c r="F14" s="31" t="n">
        <v>0</v>
      </c>
      <c r="G14" s="31" t="n">
        <v>0</v>
      </c>
      <c r="H14" s="62">
        <f>F14+G14</f>
        <v/>
      </c>
      <c r="I14" s="31" t="n">
        <v>0</v>
      </c>
      <c r="J14" s="63">
        <f>IF(H14&gt;0,I14/H14,0)</f>
        <v/>
      </c>
      <c r="K14" s="60" t="n"/>
    </row>
    <row r="15" ht="18" customHeight="1">
      <c r="A15" s="64" t="n">
        <v>2</v>
      </c>
      <c r="B15" s="60" t="n"/>
      <c r="C15" s="60" t="n"/>
      <c r="D15" s="60" t="n"/>
      <c r="E15" s="61" t="n"/>
      <c r="F15" s="31" t="n">
        <v>0</v>
      </c>
      <c r="G15" s="31" t="n">
        <v>0</v>
      </c>
      <c r="H15" s="62">
        <f>F15+G15</f>
        <v/>
      </c>
      <c r="I15" s="31" t="n">
        <v>0</v>
      </c>
      <c r="J15" s="63">
        <f>IF(H15&gt;0,I15/H15,0)</f>
        <v/>
      </c>
      <c r="K15" s="60" t="n"/>
    </row>
    <row r="16" ht="18" customHeight="1">
      <c r="A16" s="59" t="n">
        <v>3</v>
      </c>
      <c r="B16" s="60" t="n"/>
      <c r="C16" s="60" t="n"/>
      <c r="D16" s="60" t="n"/>
      <c r="E16" s="61" t="n"/>
      <c r="F16" s="31" t="n">
        <v>0</v>
      </c>
      <c r="G16" s="31" t="n">
        <v>0</v>
      </c>
      <c r="H16" s="62">
        <f>F16+G16</f>
        <v/>
      </c>
      <c r="I16" s="31" t="n">
        <v>0</v>
      </c>
      <c r="J16" s="63">
        <f>IF(H16&gt;0,I16/H16,0)</f>
        <v/>
      </c>
      <c r="K16" s="60" t="n"/>
    </row>
    <row r="17" ht="18" customHeight="1">
      <c r="A17" s="64" t="n">
        <v>4</v>
      </c>
      <c r="B17" s="60" t="n"/>
      <c r="C17" s="60" t="n"/>
      <c r="D17" s="60" t="n"/>
      <c r="E17" s="61" t="n"/>
      <c r="F17" s="31" t="n">
        <v>0</v>
      </c>
      <c r="G17" s="31" t="n">
        <v>0</v>
      </c>
      <c r="H17" s="62">
        <f>F17+G17</f>
        <v/>
      </c>
      <c r="I17" s="31" t="n">
        <v>0</v>
      </c>
      <c r="J17" s="63">
        <f>IF(H17&gt;0,I17/H17,0)</f>
        <v/>
      </c>
      <c r="K17" s="60" t="n"/>
    </row>
    <row r="18" ht="18" customHeight="1">
      <c r="A18" s="59" t="n">
        <v>5</v>
      </c>
      <c r="B18" s="60" t="n"/>
      <c r="C18" s="60" t="n"/>
      <c r="D18" s="60" t="n"/>
      <c r="E18" s="61" t="n"/>
      <c r="F18" s="31" t="n">
        <v>0</v>
      </c>
      <c r="G18" s="31" t="n">
        <v>0</v>
      </c>
      <c r="H18" s="62">
        <f>F18+G18</f>
        <v/>
      </c>
      <c r="I18" s="31" t="n">
        <v>0</v>
      </c>
      <c r="J18" s="63">
        <f>IF(H18&gt;0,I18/H18,0)</f>
        <v/>
      </c>
      <c r="K18" s="60" t="n"/>
    </row>
    <row r="19" ht="18" customHeight="1">
      <c r="A19" s="64" t="n">
        <v>6</v>
      </c>
      <c r="B19" s="60" t="n"/>
      <c r="C19" s="60" t="n"/>
      <c r="D19" s="60" t="n"/>
      <c r="E19" s="61" t="n"/>
      <c r="F19" s="31" t="n">
        <v>0</v>
      </c>
      <c r="G19" s="31" t="n">
        <v>0</v>
      </c>
      <c r="H19" s="62">
        <f>F19+G19</f>
        <v/>
      </c>
      <c r="I19" s="31" t="n">
        <v>0</v>
      </c>
      <c r="J19" s="63">
        <f>IF(H19&gt;0,I19/H19,0)</f>
        <v/>
      </c>
      <c r="K19" s="60" t="n"/>
    </row>
    <row r="20" ht="18" customHeight="1">
      <c r="A20" s="59" t="n">
        <v>7</v>
      </c>
      <c r="B20" s="60" t="n"/>
      <c r="C20" s="60" t="n"/>
      <c r="D20" s="60" t="n"/>
      <c r="E20" s="61" t="n"/>
      <c r="F20" s="31" t="n">
        <v>0</v>
      </c>
      <c r="G20" s="31" t="n">
        <v>0</v>
      </c>
      <c r="H20" s="62">
        <f>F20+G20</f>
        <v/>
      </c>
      <c r="I20" s="31" t="n">
        <v>0</v>
      </c>
      <c r="J20" s="63">
        <f>IF(H20&gt;0,I20/H20,0)</f>
        <v/>
      </c>
      <c r="K20" s="60" t="n"/>
    </row>
    <row r="21" ht="18" customHeight="1">
      <c r="A21" s="64" t="n">
        <v>8</v>
      </c>
      <c r="B21" s="60" t="n"/>
      <c r="C21" s="60" t="n"/>
      <c r="D21" s="60" t="n"/>
      <c r="E21" s="61" t="n"/>
      <c r="F21" s="31" t="n">
        <v>0</v>
      </c>
      <c r="G21" s="31" t="n">
        <v>0</v>
      </c>
      <c r="H21" s="62">
        <f>F21+G21</f>
        <v/>
      </c>
      <c r="I21" s="31" t="n">
        <v>0</v>
      </c>
      <c r="J21" s="63">
        <f>IF(H21&gt;0,I21/H21,0)</f>
        <v/>
      </c>
      <c r="K21" s="60" t="n"/>
    </row>
    <row r="22" ht="18" customHeight="1">
      <c r="A22" s="59" t="n">
        <v>9</v>
      </c>
      <c r="B22" s="60" t="n"/>
      <c r="C22" s="60" t="n"/>
      <c r="D22" s="60" t="n"/>
      <c r="E22" s="61" t="n"/>
      <c r="F22" s="31" t="n">
        <v>0</v>
      </c>
      <c r="G22" s="31" t="n">
        <v>0</v>
      </c>
      <c r="H22" s="62">
        <f>F22+G22</f>
        <v/>
      </c>
      <c r="I22" s="31" t="n">
        <v>0</v>
      </c>
      <c r="J22" s="63">
        <f>IF(H22&gt;0,I22/H22,0)</f>
        <v/>
      </c>
      <c r="K22" s="60" t="n"/>
    </row>
    <row r="23" ht="18" customHeight="1">
      <c r="A23" s="64" t="n">
        <v>10</v>
      </c>
      <c r="B23" s="60" t="n"/>
      <c r="C23" s="60" t="n"/>
      <c r="D23" s="60" t="n"/>
      <c r="E23" s="61" t="n"/>
      <c r="F23" s="31" t="n">
        <v>0</v>
      </c>
      <c r="G23" s="31" t="n">
        <v>0</v>
      </c>
      <c r="H23" s="62">
        <f>F23+G23</f>
        <v/>
      </c>
      <c r="I23" s="31" t="n">
        <v>0</v>
      </c>
      <c r="J23" s="63">
        <f>IF(H23&gt;0,I23/H23,0)</f>
        <v/>
      </c>
      <c r="K23" s="60" t="n"/>
    </row>
    <row r="24" ht="18" customHeight="1">
      <c r="A24" s="59" t="n">
        <v>11</v>
      </c>
      <c r="B24" s="60" t="n"/>
      <c r="C24" s="60" t="n"/>
      <c r="D24" s="60" t="n"/>
      <c r="E24" s="61" t="n"/>
      <c r="F24" s="31" t="n">
        <v>0</v>
      </c>
      <c r="G24" s="31" t="n">
        <v>0</v>
      </c>
      <c r="H24" s="62">
        <f>F24+G24</f>
        <v/>
      </c>
      <c r="I24" s="31" t="n">
        <v>0</v>
      </c>
      <c r="J24" s="63">
        <f>IF(H24&gt;0,I24/H24,0)</f>
        <v/>
      </c>
      <c r="K24" s="60" t="n"/>
    </row>
    <row r="25" ht="18" customHeight="1">
      <c r="A25" s="64" t="n">
        <v>12</v>
      </c>
      <c r="B25" s="60" t="n"/>
      <c r="C25" s="60" t="n"/>
      <c r="D25" s="60" t="n"/>
      <c r="E25" s="61" t="n"/>
      <c r="F25" s="31" t="n">
        <v>0</v>
      </c>
      <c r="G25" s="31" t="n">
        <v>0</v>
      </c>
      <c r="H25" s="62">
        <f>F25+G25</f>
        <v/>
      </c>
      <c r="I25" s="31" t="n">
        <v>0</v>
      </c>
      <c r="J25" s="63">
        <f>IF(H25&gt;0,I25/H25,0)</f>
        <v/>
      </c>
      <c r="K25" s="60" t="n"/>
    </row>
    <row r="26" ht="18" customHeight="1">
      <c r="A26" s="59" t="n">
        <v>13</v>
      </c>
      <c r="B26" s="60" t="n"/>
      <c r="C26" s="60" t="n"/>
      <c r="D26" s="60" t="n"/>
      <c r="E26" s="61" t="n"/>
      <c r="F26" s="31" t="n">
        <v>0</v>
      </c>
      <c r="G26" s="31" t="n">
        <v>0</v>
      </c>
      <c r="H26" s="62">
        <f>F26+G26</f>
        <v/>
      </c>
      <c r="I26" s="31" t="n">
        <v>0</v>
      </c>
      <c r="J26" s="63">
        <f>IF(H26&gt;0,I26/H26,0)</f>
        <v/>
      </c>
      <c r="K26" s="60" t="n"/>
    </row>
    <row r="27" ht="18" customHeight="1">
      <c r="A27" s="64" t="n">
        <v>14</v>
      </c>
      <c r="B27" s="60" t="n"/>
      <c r="C27" s="60" t="n"/>
      <c r="D27" s="60" t="n"/>
      <c r="E27" s="61" t="n"/>
      <c r="F27" s="31" t="n">
        <v>0</v>
      </c>
      <c r="G27" s="31" t="n">
        <v>0</v>
      </c>
      <c r="H27" s="62">
        <f>F27+G27</f>
        <v/>
      </c>
      <c r="I27" s="31" t="n">
        <v>0</v>
      </c>
      <c r="J27" s="63">
        <f>IF(H27&gt;0,I27/H27,0)</f>
        <v/>
      </c>
      <c r="K27" s="60" t="n"/>
    </row>
    <row r="28" ht="18" customHeight="1">
      <c r="A28" s="59" t="n">
        <v>15</v>
      </c>
      <c r="B28" s="60" t="n"/>
      <c r="C28" s="60" t="n"/>
      <c r="D28" s="60" t="n"/>
      <c r="E28" s="61" t="n"/>
      <c r="F28" s="31" t="n">
        <v>0</v>
      </c>
      <c r="G28" s="31" t="n">
        <v>0</v>
      </c>
      <c r="H28" s="62">
        <f>F28+G28</f>
        <v/>
      </c>
      <c r="I28" s="31" t="n">
        <v>0</v>
      </c>
      <c r="J28" s="63">
        <f>IF(H28&gt;0,I28/H28,0)</f>
        <v/>
      </c>
      <c r="K28" s="60" t="n"/>
    </row>
    <row r="29" ht="18" customHeight="1">
      <c r="A29" s="64" t="n">
        <v>16</v>
      </c>
      <c r="B29" s="60" t="n"/>
      <c r="C29" s="60" t="n"/>
      <c r="D29" s="60" t="n"/>
      <c r="E29" s="61" t="n"/>
      <c r="F29" s="31" t="n">
        <v>0</v>
      </c>
      <c r="G29" s="31" t="n">
        <v>0</v>
      </c>
      <c r="H29" s="62">
        <f>F29+G29</f>
        <v/>
      </c>
      <c r="I29" s="31" t="n">
        <v>0</v>
      </c>
      <c r="J29" s="63">
        <f>IF(H29&gt;0,I29/H29,0)</f>
        <v/>
      </c>
      <c r="K29" s="60" t="n"/>
    </row>
    <row r="30" ht="18" customHeight="1">
      <c r="A30" s="59" t="n">
        <v>17</v>
      </c>
      <c r="B30" s="60" t="n"/>
      <c r="C30" s="60" t="n"/>
      <c r="D30" s="60" t="n"/>
      <c r="E30" s="61" t="n"/>
      <c r="F30" s="31" t="n">
        <v>0</v>
      </c>
      <c r="G30" s="31" t="n">
        <v>0</v>
      </c>
      <c r="H30" s="62">
        <f>F30+G30</f>
        <v/>
      </c>
      <c r="I30" s="31" t="n">
        <v>0</v>
      </c>
      <c r="J30" s="63">
        <f>IF(H30&gt;0,I30/H30,0)</f>
        <v/>
      </c>
      <c r="K30" s="60" t="n"/>
    </row>
    <row r="31" ht="18" customHeight="1">
      <c r="A31" s="64" t="n">
        <v>18</v>
      </c>
      <c r="B31" s="60" t="n"/>
      <c r="C31" s="60" t="n"/>
      <c r="D31" s="60" t="n"/>
      <c r="E31" s="61" t="n"/>
      <c r="F31" s="31" t="n">
        <v>0</v>
      </c>
      <c r="G31" s="31" t="n">
        <v>0</v>
      </c>
      <c r="H31" s="62">
        <f>F31+G31</f>
        <v/>
      </c>
      <c r="I31" s="31" t="n">
        <v>0</v>
      </c>
      <c r="J31" s="63">
        <f>IF(H31&gt;0,I31/H31,0)</f>
        <v/>
      </c>
      <c r="K31" s="60" t="n"/>
    </row>
    <row r="32" ht="18" customHeight="1">
      <c r="A32" s="59" t="n">
        <v>19</v>
      </c>
      <c r="B32" s="60" t="n"/>
      <c r="C32" s="60" t="n"/>
      <c r="D32" s="60" t="n"/>
      <c r="E32" s="61" t="n"/>
      <c r="F32" s="31" t="n">
        <v>0</v>
      </c>
      <c r="G32" s="31" t="n">
        <v>0</v>
      </c>
      <c r="H32" s="62">
        <f>F32+G32</f>
        <v/>
      </c>
      <c r="I32" s="31" t="n">
        <v>0</v>
      </c>
      <c r="J32" s="63">
        <f>IF(H32&gt;0,I32/H32,0)</f>
        <v/>
      </c>
      <c r="K32" s="60" t="n"/>
    </row>
    <row r="33" ht="18" customHeight="1">
      <c r="A33" s="64" t="n">
        <v>20</v>
      </c>
      <c r="B33" s="60" t="n"/>
      <c r="C33" s="60" t="n"/>
      <c r="D33" s="60" t="n"/>
      <c r="E33" s="61" t="n"/>
      <c r="F33" s="31" t="n">
        <v>0</v>
      </c>
      <c r="G33" s="31" t="n">
        <v>0</v>
      </c>
      <c r="H33" s="62">
        <f>F33+G33</f>
        <v/>
      </c>
      <c r="I33" s="31" t="n">
        <v>0</v>
      </c>
      <c r="J33" s="63">
        <f>IF(H33&gt;0,I33/H33,0)</f>
        <v/>
      </c>
      <c r="K33" s="60" t="n"/>
    </row>
    <row r="35" ht="6" customHeight="1"/>
    <row r="36" ht="18" customHeight="1">
      <c r="A36" s="26" t="inlineStr">
        <is>
          <t>C. PORTFOLIO SUMMARY</t>
        </is>
      </c>
      <c r="B36" s="27" t="n"/>
      <c r="C36" s="27" t="n"/>
      <c r="D36" s="27" t="n"/>
      <c r="E36" s="28" t="n"/>
    </row>
    <row r="37" ht="18" customHeight="1">
      <c r="A37" s="39" t="inlineStr">
        <is>
          <t>Total Companies</t>
        </is>
      </c>
      <c r="B37" s="65">
        <f>COUNTA(B14:B33)</f>
        <v/>
      </c>
    </row>
    <row r="38" ht="18" customHeight="1">
      <c r="A38" s="39" t="inlineStr">
        <is>
          <t>Total Deployed (€)</t>
        </is>
      </c>
      <c r="B38" s="44">
        <f>SUM(H14:H33)</f>
        <v/>
      </c>
    </row>
    <row r="39" ht="18" customHeight="1">
      <c r="A39" s="39" t="inlineStr">
        <is>
          <t>Longevity Companies</t>
        </is>
      </c>
      <c r="B39" s="65">
        <f>COUNTA(B14:B33)</f>
        <v/>
      </c>
    </row>
    <row r="40" ht="18" customHeight="1">
      <c r="A40" s="39" t="inlineStr">
        <is>
          <t>Space Companies</t>
        </is>
      </c>
      <c r="B40" s="65">
        <f>COUNTIF(C14:C33,"Space")</f>
        <v/>
      </c>
    </row>
    <row r="41" ht="18" customHeight="1">
      <c r="A41" s="39" t="inlineStr">
        <is>
          <t>Current Portfolio Value (€)</t>
        </is>
      </c>
      <c r="B41" s="44">
        <f>SUM(I14:I33)</f>
        <v/>
      </c>
    </row>
    <row r="42" ht="18" customHeight="1">
      <c r="A42" s="37" t="inlineStr">
        <is>
          <t>PORTFOLIO MOIC</t>
        </is>
      </c>
      <c r="B42" s="66">
        <f>IF(SUM(H14:H33)&gt;0,SUM(I14:I33)/SUM(H14:H33),0)</f>
        <v/>
      </c>
    </row>
    <row r="45" ht="6" customHeight="1"/>
    <row r="46" ht="18" customHeight="1">
      <c r="A46" s="26" t="inlineStr">
        <is>
          <t>D. DEPLOYMENT SCHEDULE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8" t="n"/>
    </row>
    <row r="47">
      <c r="A47" s="29" t="inlineStr">
        <is>
          <t>Year</t>
        </is>
      </c>
      <c r="B47" s="29" t="inlineStr">
        <is>
          <t>Target Capital (€)</t>
        </is>
      </c>
      <c r="C47" s="29" t="inlineStr">
        <is>
          <t># Companies</t>
        </is>
      </c>
      <c r="D47" s="29" t="inlineStr">
        <is>
          <t>Avg Ticket (€)</t>
        </is>
      </c>
      <c r="E47" s="29" t="inlineStr">
        <is>
          <t>Notes</t>
        </is>
      </c>
    </row>
    <row r="48" ht="18" customHeight="1">
      <c r="A48" s="30" t="inlineStr">
        <is>
          <t>Year 1</t>
        </is>
      </c>
      <c r="B48" s="31" t="n">
        <v>500000</v>
      </c>
      <c r="C48" s="67" t="inlineStr">
        <is>
          <t>3–4</t>
        </is>
      </c>
      <c r="D48" s="44">
        <f>B48/3.5</f>
        <v/>
      </c>
      <c r="E48" s="32" t="inlineStr">
        <is>
          <t>First investments</t>
        </is>
      </c>
    </row>
    <row r="49" ht="18" customHeight="1">
      <c r="A49" s="33" t="inlineStr">
        <is>
          <t>Year 2</t>
        </is>
      </c>
      <c r="B49" s="31" t="n">
        <v>1500000</v>
      </c>
      <c r="C49" s="68" t="inlineStr">
        <is>
          <t>5–6</t>
        </is>
      </c>
      <c r="D49" s="44">
        <f>B49/5.5</f>
        <v/>
      </c>
      <c r="E49" s="32" t="inlineStr">
        <is>
          <t>Acceleration</t>
        </is>
      </c>
    </row>
    <row r="50" ht="18" customHeight="1">
      <c r="A50" s="30" t="inlineStr">
        <is>
          <t>Year 3</t>
        </is>
      </c>
      <c r="B50" s="31" t="n">
        <v>2000000</v>
      </c>
      <c r="C50" s="67" t="inlineStr">
        <is>
          <t>5–6</t>
        </is>
      </c>
      <c r="D50" s="44">
        <f>B50/5.5</f>
        <v/>
      </c>
      <c r="E50" s="32" t="inlineStr">
        <is>
          <t>Main deployment</t>
        </is>
      </c>
    </row>
    <row r="51" ht="18" customHeight="1">
      <c r="A51" s="33" t="inlineStr">
        <is>
          <t>Year 4</t>
        </is>
      </c>
      <c r="B51" s="31" t="n">
        <v>1000000</v>
      </c>
      <c r="C51" s="68" t="inlineStr">
        <is>
          <t>3–4</t>
        </is>
      </c>
      <c r="D51" s="44">
        <f>B51/3.5</f>
        <v/>
      </c>
      <c r="E51" s="32" t="inlineStr">
        <is>
          <t>Follow-ons &amp; final investments</t>
        </is>
      </c>
    </row>
    <row r="52" ht="18" customHeight="1">
      <c r="A52" s="69" t="inlineStr">
        <is>
          <t>TOTAL</t>
        </is>
      </c>
      <c r="B52" s="54">
        <f>SUM(B48:B51)</f>
        <v/>
      </c>
    </row>
    <row r="54">
      <c r="A54" s="22" t="inlineStr">
        <is>
          <t>Longevity</t>
        </is>
      </c>
      <c r="B54" s="70">
        <f>COUNTIF(C14:C33,"Longevity")</f>
        <v/>
      </c>
    </row>
    <row r="55">
      <c r="A55" s="22" t="inlineStr">
        <is>
          <t>Space</t>
        </is>
      </c>
      <c r="B55" s="70">
        <f>COUNTIF(C14:C33,"Space")</f>
        <v/>
      </c>
    </row>
  </sheetData>
  <mergeCells count="18">
    <mergeCell ref="A8"/>
    <mergeCell ref="A6"/>
    <mergeCell ref="C10:E10"/>
    <mergeCell ref="A12:K12"/>
    <mergeCell ref="A9"/>
    <mergeCell ref="C5:E5"/>
    <mergeCell ref="A7"/>
    <mergeCell ref="C8:E8"/>
    <mergeCell ref="C9:E9"/>
    <mergeCell ref="C4:E4"/>
    <mergeCell ref="A10"/>
    <mergeCell ref="A36:E36"/>
    <mergeCell ref="A46:K46"/>
    <mergeCell ref="C7:E7"/>
    <mergeCell ref="A1:K1"/>
    <mergeCell ref="A5"/>
    <mergeCell ref="C6:E6"/>
    <mergeCell ref="A3:E3"/>
  </mergeCells>
  <dataValidations count="3">
    <dataValidation sqref="C14 C15 C16 C17 C18 C19 C20 C21 C22 C23 C24 C25 C26 C27 C28 C29 C30 C31 C32 C33" showDropDown="0" showInputMessage="0" showErrorMessage="0" allowBlank="1" type="list">
      <formula1>"Longevity,Space"</formula1>
    </dataValidation>
    <dataValidation sqref="D14 D15 D16 D17 D18 D19 D20 D21 D22 D23 D24 D25 D26 D27 D28 D29 D30 D31 D32 D33" showDropDown="0" showInputMessage="0" showErrorMessage="0" allowBlank="1" type="list">
      <formula1>"Pre-seed,Seed,Series A"</formula1>
    </dataValidation>
    <dataValidation sqref="K14 K15 K16 K17 K18 K19 K20 K21 K22 K23 K24 K25 K26 K27 K28 K29 K30 K31 K32 K33" showDropDown="0" showInputMessage="0" showErrorMessage="0" allowBlank="1" type="list">
      <formula1>"Active,Exited,Failed"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53935"/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28" customHeight="1">
      <c r="A1" s="23" t="inlineStr">
        <is>
          <t>SCENARIO ANALYSIS</t>
        </is>
      </c>
      <c r="B1" s="24" t="n"/>
      <c r="C1" s="24" t="n"/>
      <c r="D1" s="24" t="n"/>
      <c r="E1" s="25" t="n"/>
    </row>
    <row r="2" ht="6" customHeight="1"/>
    <row r="3" ht="20" customHeight="1">
      <c r="A3" s="26" t="inlineStr">
        <is>
          <t>A. SCENARIO INPUTS</t>
        </is>
      </c>
      <c r="B3" s="27" t="n"/>
      <c r="C3" s="27" t="n"/>
      <c r="D3" s="27" t="n"/>
      <c r="E3" s="28" t="n"/>
    </row>
    <row r="4">
      <c r="A4" s="29" t="inlineStr">
        <is>
          <t>Parameter</t>
        </is>
      </c>
      <c r="B4" s="29" t="inlineStr">
        <is>
          <t>Best Case</t>
        </is>
      </c>
      <c r="C4" s="29" t="inlineStr">
        <is>
          <t>Base Case</t>
        </is>
      </c>
      <c r="D4" s="29" t="inlineStr">
        <is>
          <t>Worst Case</t>
        </is>
      </c>
      <c r="E4" s="29" t="inlineStr">
        <is>
          <t>Notes</t>
        </is>
      </c>
    </row>
    <row r="5" ht="18" customHeight="1">
      <c r="A5" s="13" t="inlineStr">
        <is>
          <t>Fund Size (€)</t>
        </is>
      </c>
      <c r="B5" s="31" t="n">
        <v>5000000</v>
      </c>
      <c r="C5" s="31" t="n">
        <v>3000000</v>
      </c>
      <c r="D5" s="31" t="n">
        <v>1000000</v>
      </c>
      <c r="E5" s="32" t="inlineStr">
        <is>
          <t>Total AUM raised</t>
        </is>
      </c>
    </row>
    <row r="6" ht="18" customHeight="1">
      <c r="A6" s="15" t="inlineStr">
        <is>
          <t>Portfolio MOIC</t>
        </is>
      </c>
      <c r="B6" s="41" t="n">
        <v>5</v>
      </c>
      <c r="C6" s="41" t="n">
        <v>3</v>
      </c>
      <c r="D6" s="41" t="n">
        <v>1</v>
      </c>
      <c r="E6" s="32" t="inlineStr">
        <is>
          <t>Gross fund multiple</t>
        </is>
      </c>
    </row>
    <row r="7" ht="18" customHeight="1">
      <c r="A7" s="13" t="inlineStr">
        <is>
          <t>Years to Exit (avg)</t>
        </is>
      </c>
      <c r="B7" s="42" t="n">
        <v>6</v>
      </c>
      <c r="C7" s="42" t="n">
        <v>7</v>
      </c>
      <c r="D7" s="42" t="n">
        <v>9</v>
      </c>
      <c r="E7" s="32" t="inlineStr">
        <is>
          <t>Average holding period</t>
        </is>
      </c>
    </row>
    <row r="8" ht="18" customHeight="1">
      <c r="A8" s="15" t="inlineStr">
        <is>
          <t>Avg Annual Op Expenses (€)</t>
        </is>
      </c>
      <c r="B8" s="31" t="n">
        <v>60000</v>
      </c>
      <c r="C8" s="31" t="n">
        <v>70000</v>
      </c>
      <c r="D8" s="31" t="n">
        <v>80000</v>
      </c>
      <c r="E8" s="32" t="inlineStr">
        <is>
          <t>Total annual expenses</t>
        </is>
      </c>
    </row>
    <row r="9" ht="18" customHeight="1">
      <c r="A9" s="13" t="inlineStr">
        <is>
          <t>Management Fee (%)</t>
        </is>
      </c>
      <c r="B9" s="34" t="n">
        <v>0.015</v>
      </c>
      <c r="C9" s="34" t="n">
        <v>0.015</v>
      </c>
      <c r="D9" s="34" t="n">
        <v>0.015</v>
      </c>
      <c r="E9" s="32" t="inlineStr">
        <is>
          <t>Fixed at 1.5%</t>
        </is>
      </c>
    </row>
    <row r="10" ht="18" customHeight="1">
      <c r="A10" s="15" t="inlineStr">
        <is>
          <t>Carried Interest (%)</t>
        </is>
      </c>
      <c r="B10" s="34" t="n">
        <v>0.25</v>
      </c>
      <c r="C10" s="34" t="n">
        <v>0.25</v>
      </c>
      <c r="D10" s="34" t="n">
        <v>0.25</v>
      </c>
      <c r="E10" s="32" t="inlineStr">
        <is>
          <t>Fixed at 25%</t>
        </is>
      </c>
    </row>
    <row r="11" ht="6" customHeight="1"/>
    <row r="12" ht="20" customHeight="1">
      <c r="A12" s="26" t="inlineStr">
        <is>
          <t>B. SCENARIO OUTCOMES</t>
        </is>
      </c>
      <c r="B12" s="27" t="n"/>
      <c r="C12" s="27" t="n"/>
      <c r="D12" s="27" t="n"/>
      <c r="E12" s="28" t="n"/>
    </row>
    <row r="13">
      <c r="A13" s="29" t="inlineStr">
        <is>
          <t>Metric</t>
        </is>
      </c>
      <c r="B13" s="29" t="inlineStr">
        <is>
          <t>Best Case</t>
        </is>
      </c>
      <c r="C13" s="29" t="inlineStr">
        <is>
          <t>Base Case</t>
        </is>
      </c>
      <c r="D13" s="29" t="inlineStr">
        <is>
          <t>Worst Case</t>
        </is>
      </c>
      <c r="E13" s="29" t="inlineStr">
        <is>
          <t>Formula basis</t>
        </is>
      </c>
    </row>
    <row r="14" ht="18" customHeight="1">
      <c r="A14" s="39" t="inlineStr">
        <is>
          <t>Fund Returns (Gross)</t>
        </is>
      </c>
      <c r="B14" s="44">
        <f>B5*B6</f>
        <v/>
      </c>
      <c r="C14" s="44">
        <f>C5*C6</f>
        <v/>
      </c>
      <c r="D14" s="44">
        <f>D5*D6</f>
        <v/>
      </c>
      <c r="E14" s="32" t="inlineStr">
        <is>
          <t>Fund Size × MOIC</t>
        </is>
      </c>
    </row>
    <row r="15" ht="18" customHeight="1">
      <c r="A15" s="39" t="inlineStr">
        <is>
          <t>Gross Profit</t>
        </is>
      </c>
      <c r="B15" s="44">
        <f>B14-B5</f>
        <v/>
      </c>
      <c r="C15" s="44">
        <f>C14-C5</f>
        <v/>
      </c>
      <c r="D15" s="44">
        <f>D14-D5</f>
        <v/>
      </c>
      <c r="E15" s="32" t="inlineStr">
        <is>
          <t>Returns − Fund Size</t>
        </is>
      </c>
    </row>
    <row r="16" ht="18" customHeight="1">
      <c r="A16" s="39" t="inlineStr">
        <is>
          <t>Hurdle to LPs (8% comp.)</t>
        </is>
      </c>
      <c r="B16" s="44">
        <f>B5*((1+B10)^B7)-B5</f>
        <v/>
      </c>
      <c r="C16" s="44">
        <f>C5*((1+C10)^C7)-C5</f>
        <v/>
      </c>
      <c r="D16" s="44">
        <f>D5*((1+D10)^D7)-D5</f>
        <v/>
      </c>
      <c r="E16" s="32" t="inlineStr">
        <is>
          <t>Fund × (1.08^yrs) − Fund</t>
        </is>
      </c>
    </row>
    <row r="17" ht="18" customHeight="1">
      <c r="A17" s="39" t="inlineStr">
        <is>
          <t>Profit Above Hurdle</t>
        </is>
      </c>
      <c r="B17" s="44">
        <f>MAX(0,B15-B16)</f>
        <v/>
      </c>
      <c r="C17" s="44">
        <f>MAX(0,C15-C16)</f>
        <v/>
      </c>
      <c r="D17" s="44">
        <f>MAX(0,D15-D16)</f>
        <v/>
      </c>
      <c r="E17" s="32" t="inlineStr">
        <is>
          <t>MAX(0, Profit − Hurdle)</t>
        </is>
      </c>
    </row>
    <row r="18" ht="18" customHeight="1">
      <c r="A18" s="39" t="inlineStr">
        <is>
          <t>GP Carry (25%)</t>
        </is>
      </c>
      <c r="B18" s="44">
        <f>B17*B11</f>
        <v/>
      </c>
      <c r="C18" s="44">
        <f>C17*C11</f>
        <v/>
      </c>
      <c r="D18" s="44">
        <f>D17*D11</f>
        <v/>
      </c>
      <c r="E18" s="32" t="inlineStr">
        <is>
          <t>Excess × 25%</t>
        </is>
      </c>
    </row>
    <row r="19" ht="18" customHeight="1">
      <c r="A19" s="39" t="inlineStr">
        <is>
          <t>LP Net Returns</t>
        </is>
      </c>
      <c r="B19" s="44">
        <f>B5+B16+(B17*0.75)</f>
        <v/>
      </c>
      <c r="C19" s="44">
        <f>C5+C16+(C17*0.75)</f>
        <v/>
      </c>
      <c r="D19" s="44">
        <f>D5+D16+(D17*0.75)</f>
        <v/>
      </c>
      <c r="E19" s="32" t="inlineStr">
        <is>
          <t>Capital+Hurdle+75%Excess</t>
        </is>
      </c>
    </row>
    <row r="20" ht="18" customHeight="1">
      <c r="A20" s="37" t="inlineStr">
        <is>
          <t>LP Net Multiple</t>
        </is>
      </c>
      <c r="B20" s="71">
        <f>B19/B5</f>
        <v/>
      </c>
      <c r="C20" s="71">
        <f>C19/C5</f>
        <v/>
      </c>
      <c r="D20" s="71">
        <f>D19/D5</f>
        <v/>
      </c>
      <c r="E20" s="32" t="inlineStr">
        <is>
          <t>LP Returns ÷ Fund Size</t>
        </is>
      </c>
    </row>
    <row r="21" ht="18" customHeight="1">
      <c r="A21" s="37" t="inlineStr">
        <is>
          <t>LP Net IRR (approx.)</t>
        </is>
      </c>
      <c r="B21" s="72">
        <f>(B19/B5)^(1/B7)-1</f>
        <v/>
      </c>
      <c r="C21" s="72">
        <f>(C19/C5)^(1/C7)-1</f>
        <v/>
      </c>
      <c r="D21" s="72">
        <f>(D19/D5)^(1/D7)-1</f>
        <v/>
      </c>
      <c r="E21" s="32" t="inlineStr">
        <is>
          <t>(Multiple)^(1/Years)−1</t>
        </is>
      </c>
    </row>
    <row r="22" ht="18" customHeight="1">
      <c r="A22" s="39" t="inlineStr">
        <is>
          <t>Mgmt Fees (10 years)</t>
        </is>
      </c>
      <c r="B22" s="44">
        <f>B5*B10*10</f>
        <v/>
      </c>
      <c r="C22" s="44">
        <f>C5*C10*10</f>
        <v/>
      </c>
      <c r="D22" s="44">
        <f>D5*D10*10</f>
        <v/>
      </c>
      <c r="E22" s="32" t="inlineStr">
        <is>
          <t>Fund × 1.5% × 10</t>
        </is>
      </c>
    </row>
    <row r="23" ht="18" customHeight="1">
      <c r="A23" s="37" t="inlineStr">
        <is>
          <t>GP Total Compensation</t>
        </is>
      </c>
      <c r="B23" s="73">
        <f>B22+B18</f>
        <v/>
      </c>
      <c r="C23" s="73">
        <f>C22+C18</f>
        <v/>
      </c>
      <c r="D23" s="73">
        <f>D22+D18</f>
        <v/>
      </c>
      <c r="E23" s="32" t="inlineStr">
        <is>
          <t>Mgmt Fees + Carry</t>
        </is>
      </c>
    </row>
    <row r="24" ht="6" customHeight="1"/>
    <row r="25" ht="20" customHeight="1">
      <c r="A25" s="26" t="inlineStr">
        <is>
          <t>C. SCENARIO COMPARISON SUMMARY</t>
        </is>
      </c>
      <c r="B25" s="27" t="n"/>
      <c r="C25" s="27" t="n"/>
      <c r="D25" s="27" t="n"/>
      <c r="E25" s="28" t="n"/>
    </row>
    <row r="26">
      <c r="A26" s="29" t="inlineStr">
        <is>
          <t>Metric</t>
        </is>
      </c>
      <c r="B26" s="29" t="inlineStr">
        <is>
          <t>Best Case</t>
        </is>
      </c>
      <c r="C26" s="29" t="inlineStr">
        <is>
          <t>Base Case</t>
        </is>
      </c>
      <c r="D26" s="29" t="inlineStr">
        <is>
          <t>Worst Case</t>
        </is>
      </c>
    </row>
    <row r="27" ht="18" customHeight="1">
      <c r="A27" s="13" t="inlineStr">
        <is>
          <t>Fund Size (€)</t>
        </is>
      </c>
      <c r="B27" s="14">
        <f>B5</f>
        <v/>
      </c>
      <c r="C27" s="14">
        <f>C5</f>
        <v/>
      </c>
      <c r="D27" s="14">
        <f>D5</f>
        <v/>
      </c>
    </row>
    <row r="28" ht="18" customHeight="1">
      <c r="A28" s="15" t="inlineStr">
        <is>
          <t>Gross Returns (€)</t>
        </is>
      </c>
      <c r="B28" s="16">
        <f>B14</f>
        <v/>
      </c>
      <c r="C28" s="16">
        <f>C14</f>
        <v/>
      </c>
      <c r="D28" s="16">
        <f>D14</f>
        <v/>
      </c>
    </row>
    <row r="29" ht="18" customHeight="1">
      <c r="A29" s="13" t="inlineStr">
        <is>
          <t>LP Net Multiple</t>
        </is>
      </c>
      <c r="B29" s="74">
        <f>B20</f>
        <v/>
      </c>
      <c r="C29" s="74">
        <f>C20</f>
        <v/>
      </c>
      <c r="D29" s="74">
        <f>D20</f>
        <v/>
      </c>
    </row>
    <row r="30" ht="18" customHeight="1">
      <c r="A30" s="15" t="inlineStr">
        <is>
          <t>LP Net IRR</t>
        </is>
      </c>
      <c r="B30" s="75">
        <f>B21</f>
        <v/>
      </c>
      <c r="C30" s="75">
        <f>C21</f>
        <v/>
      </c>
      <c r="D30" s="75">
        <f>D21</f>
        <v/>
      </c>
    </row>
    <row r="31" ht="18" customHeight="1">
      <c r="A31" s="13" t="inlineStr">
        <is>
          <t>GP Total Comp (€)</t>
        </is>
      </c>
      <c r="B31" s="14">
        <f>B23</f>
        <v/>
      </c>
      <c r="C31" s="14">
        <f>C23</f>
        <v/>
      </c>
      <c r="D31" s="14">
        <f>D23</f>
        <v/>
      </c>
    </row>
    <row r="32" ht="18" customHeight="1">
      <c r="A32" s="15" t="inlineStr">
        <is>
          <t>Mgmt Fees 10yr (€)</t>
        </is>
      </c>
      <c r="B32" s="16">
        <f>B22</f>
        <v/>
      </c>
      <c r="C32" s="16">
        <f>C22</f>
        <v/>
      </c>
      <c r="D32" s="16">
        <f>D22</f>
        <v/>
      </c>
    </row>
    <row r="33" ht="18" customHeight="1">
      <c r="A33" s="13" t="inlineStr">
        <is>
          <t>GP Carry (€)</t>
        </is>
      </c>
      <c r="B33" s="14">
        <f>B18</f>
        <v/>
      </c>
      <c r="C33" s="14">
        <f>C18</f>
        <v/>
      </c>
      <c r="D33" s="14">
        <f>D18</f>
        <v/>
      </c>
    </row>
    <row r="34" ht="6" customHeight="1"/>
    <row r="35" ht="20" customHeight="1">
      <c r="A35" s="26" t="inlineStr">
        <is>
          <t>D. SENSITIVITY — LP NET IRR BY FUND SIZE &amp; MOIC</t>
        </is>
      </c>
      <c r="B35" s="27" t="n"/>
      <c r="C35" s="27" t="n"/>
      <c r="D35" s="27" t="n"/>
      <c r="E35" s="28" t="n"/>
    </row>
    <row r="36" ht="14" customHeight="1">
      <c r="A36" s="40" t="inlineStr">
        <is>
          <t>Rows = Portfolio MOIC | Columns = Fund Size (for reference, IRR is size-independent)</t>
        </is>
      </c>
    </row>
    <row r="37">
      <c r="A37" s="29" t="inlineStr">
        <is>
          <t>MOIC \ Years</t>
        </is>
      </c>
      <c r="B37" s="29" t="inlineStr">
        <is>
          <t>5 yrs</t>
        </is>
      </c>
      <c r="C37" s="29" t="inlineStr">
        <is>
          <t>6 yrs</t>
        </is>
      </c>
      <c r="D37" s="29" t="inlineStr">
        <is>
          <t>7 yrs</t>
        </is>
      </c>
      <c r="E37" s="29" t="inlineStr">
        <is>
          <t>8 yrs</t>
        </is>
      </c>
      <c r="F37" s="29" t="inlineStr">
        <is>
          <t>9 yrs</t>
        </is>
      </c>
      <c r="G37" s="29" t="inlineStr">
        <is>
          <t>10 yrs</t>
        </is>
      </c>
    </row>
    <row r="38" ht="16" customHeight="1">
      <c r="A38" s="76" t="inlineStr">
        <is>
          <t>1.0x</t>
        </is>
      </c>
      <c r="B38" s="77" t="n">
        <v>0</v>
      </c>
      <c r="C38" s="77" t="n">
        <v>0</v>
      </c>
      <c r="D38" s="77" t="n">
        <v>0</v>
      </c>
      <c r="E38" s="77" t="n">
        <v>0</v>
      </c>
      <c r="F38" s="77" t="n">
        <v>0</v>
      </c>
      <c r="G38" s="77" t="n">
        <v>0</v>
      </c>
    </row>
    <row r="39" ht="16" customHeight="1">
      <c r="A39" s="78" t="inlineStr">
        <is>
          <t>1.5x</t>
        </is>
      </c>
      <c r="B39" s="77" t="n">
        <v>0.08447177119769855</v>
      </c>
      <c r="C39" s="77" t="n">
        <v>0.06991319393366302</v>
      </c>
      <c r="D39" s="77" t="n">
        <v>0.05963402266704843</v>
      </c>
      <c r="E39" s="77" t="n">
        <v>0.05198950550864412</v>
      </c>
      <c r="F39" s="77" t="n">
        <v>0.04608191864321465</v>
      </c>
      <c r="G39" s="77" t="n">
        <v>0.04137974399241062</v>
      </c>
    </row>
    <row r="40" ht="16" customHeight="1">
      <c r="A40" s="76" t="inlineStr">
        <is>
          <t>2.0x</t>
        </is>
      </c>
      <c r="B40" s="79" t="n">
        <v>0.1486983549970351</v>
      </c>
      <c r="C40" s="79" t="n">
        <v>0.122462048309373</v>
      </c>
      <c r="D40" s="79" t="n">
        <v>0.1040895136738123</v>
      </c>
      <c r="E40" s="77" t="n">
        <v>0.09050773266525769</v>
      </c>
      <c r="F40" s="77" t="n">
        <v>0.08005973889230611</v>
      </c>
      <c r="G40" s="77" t="n">
        <v>0.07177346253629313</v>
      </c>
    </row>
    <row r="41" ht="16" customHeight="1">
      <c r="A41" s="78" t="inlineStr">
        <is>
          <t>2.5x</t>
        </is>
      </c>
      <c r="B41" s="80" t="n">
        <v>0.2011244339814313</v>
      </c>
      <c r="C41" s="79" t="n">
        <v>0.1649930507507129</v>
      </c>
      <c r="D41" s="79" t="n">
        <v>0.1398522810475966</v>
      </c>
      <c r="E41" s="79" t="n">
        <v>0.1213533919701386</v>
      </c>
      <c r="F41" s="79" t="n">
        <v>0.1071731788899111</v>
      </c>
      <c r="G41" s="77" t="n">
        <v>0.09595822638521723</v>
      </c>
    </row>
    <row r="42" ht="16" customHeight="1">
      <c r="A42" s="76" t="inlineStr">
        <is>
          <t>3.0x</t>
        </is>
      </c>
      <c r="B42" s="80" t="n">
        <v>0.2457309396155174</v>
      </c>
      <c r="C42" s="80" t="n">
        <v>0.2009369551760027</v>
      </c>
      <c r="D42" s="79" t="n">
        <v>0.1699308127586869</v>
      </c>
      <c r="E42" s="79" t="n">
        <v>0.1472026904398771</v>
      </c>
      <c r="F42" s="79" t="n">
        <v>0.129830963909753</v>
      </c>
      <c r="G42" s="79" t="n">
        <v>0.1161231740339044</v>
      </c>
    </row>
    <row r="43" ht="16" customHeight="1">
      <c r="A43" s="78" t="inlineStr">
        <is>
          <t>3.5x</t>
        </is>
      </c>
      <c r="B43" s="80" t="n">
        <v>0.2847351571234393</v>
      </c>
      <c r="C43" s="80" t="n">
        <v>0.2321909291736532</v>
      </c>
      <c r="D43" s="79" t="n">
        <v>0.1959802456254809</v>
      </c>
      <c r="E43" s="79" t="n">
        <v>0.1695222955837057</v>
      </c>
      <c r="F43" s="79" t="n">
        <v>0.1493492186722336</v>
      </c>
      <c r="G43" s="79" t="n">
        <v>0.1334615816706974</v>
      </c>
    </row>
    <row r="44" ht="16" customHeight="1">
      <c r="A44" s="76" t="inlineStr">
        <is>
          <t>4.0x</t>
        </is>
      </c>
      <c r="B44" s="80" t="n">
        <v>0.3195079107728942</v>
      </c>
      <c r="C44" s="80" t="n">
        <v>0.2599210498948732</v>
      </c>
      <c r="D44" s="80" t="n">
        <v>0.2190136542044754</v>
      </c>
      <c r="E44" s="79" t="n">
        <v>0.189207115002721</v>
      </c>
      <c r="F44" s="79" t="n">
        <v>0.1665290395761165</v>
      </c>
      <c r="G44" s="79" t="n">
        <v>0.1486983549970351</v>
      </c>
    </row>
    <row r="45" ht="16" customHeight="1">
      <c r="A45" s="78" t="inlineStr">
        <is>
          <t>5.0x</t>
        </is>
      </c>
      <c r="B45" s="80" t="n">
        <v>0.3797296614612149</v>
      </c>
      <c r="C45" s="80" t="n">
        <v>0.3076604860118306</v>
      </c>
      <c r="D45" s="80" t="n">
        <v>0.2584989506418267</v>
      </c>
      <c r="E45" s="80" t="n">
        <v>0.2228445449938519</v>
      </c>
      <c r="F45" s="79" t="n">
        <v>0.1958131745004019</v>
      </c>
      <c r="G45" s="79" t="n">
        <v>0.174618943088019</v>
      </c>
    </row>
    <row r="46" ht="16" customHeight="1">
      <c r="A46" s="76" t="inlineStr">
        <is>
          <t>7.0x</t>
        </is>
      </c>
      <c r="B46" s="80" t="n">
        <v>0.4757731615945522</v>
      </c>
      <c r="C46" s="80" t="n">
        <v>0.3830875542684884</v>
      </c>
      <c r="D46" s="80" t="n">
        <v>0.3204692477561237</v>
      </c>
      <c r="E46" s="80" t="n">
        <v>0.2753731068584542</v>
      </c>
      <c r="F46" s="80" t="n">
        <v>0.2413658170152087</v>
      </c>
      <c r="G46" s="80" t="n">
        <v>0.2148140440390669</v>
      </c>
    </row>
    <row r="47" ht="16" customHeight="1">
      <c r="A47" s="78" t="inlineStr">
        <is>
          <t>10.0x</t>
        </is>
      </c>
      <c r="B47" s="80" t="n">
        <v>0.5848931924611136</v>
      </c>
      <c r="C47" s="80" t="n">
        <v>0.4677992676220695</v>
      </c>
      <c r="D47" s="80" t="n">
        <v>0.3894954943731377</v>
      </c>
      <c r="E47" s="80" t="n">
        <v>0.333521432163324</v>
      </c>
      <c r="F47" s="80" t="n">
        <v>0.2915496650148839</v>
      </c>
      <c r="G47" s="80" t="n">
        <v>0.2589254117941673</v>
      </c>
    </row>
    <row r="48" ht="6" customHeight="1"/>
    <row r="49">
      <c r="A49" s="21" t="inlineStr"/>
      <c r="B49" s="21" t="inlineStr">
        <is>
          <t>Best Case</t>
        </is>
      </c>
      <c r="C49" s="21" t="inlineStr">
        <is>
          <t>Base Case</t>
        </is>
      </c>
      <c r="D49" s="21" t="inlineStr">
        <is>
          <t>Worst Case</t>
        </is>
      </c>
    </row>
    <row r="50">
      <c r="A50" s="22" t="inlineStr">
        <is>
          <t>LP Net Multiple</t>
        </is>
      </c>
      <c r="B50">
        <f>B20</f>
        <v/>
      </c>
      <c r="C50">
        <f>C20</f>
        <v/>
      </c>
      <c r="D50">
        <f>D20</f>
        <v/>
      </c>
    </row>
    <row r="51">
      <c r="A51" s="22" t="inlineStr">
        <is>
          <t>LP Net IRR</t>
        </is>
      </c>
      <c r="B51">
        <f>B21</f>
        <v/>
      </c>
      <c r="C51">
        <f>C21</f>
        <v/>
      </c>
      <c r="D51">
        <f>D21</f>
        <v/>
      </c>
    </row>
    <row r="52">
      <c r="A52" s="22" t="inlineStr">
        <is>
          <t>GP Mgmt Fees</t>
        </is>
      </c>
      <c r="B52">
        <f>B22</f>
        <v/>
      </c>
      <c r="C52">
        <f>C22</f>
        <v/>
      </c>
      <c r="D52">
        <f>D22</f>
        <v/>
      </c>
    </row>
    <row r="53">
      <c r="A53" s="22" t="inlineStr">
        <is>
          <t>GP Carry</t>
        </is>
      </c>
      <c r="B53">
        <f>B18</f>
        <v/>
      </c>
      <c r="C53">
        <f>C18</f>
        <v/>
      </c>
      <c r="D53">
        <f>D18</f>
        <v/>
      </c>
    </row>
  </sheetData>
  <mergeCells count="5">
    <mergeCell ref="A35:E35"/>
    <mergeCell ref="A12:E12"/>
    <mergeCell ref="A25:E25"/>
    <mergeCell ref="A1:E1"/>
    <mergeCell ref="A3:E3"/>
  </mergeCells>
  <conditionalFormatting sqref="B21:D21">
    <cfRule type="cellIs" priority="1" operator="greaterThan" dxfId="0">
      <formula>0.20</formula>
    </cfRule>
    <cfRule type="cellIs" priority="2" operator="between" dxfId="1">
      <formula>0.10</formula>
      <formula>0.20</formula>
    </cfRule>
    <cfRule type="cellIs" priority="3" operator="lessThan" dxfId="2">
      <formula>0.10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BBA9C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6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23" t="inlineStr">
        <is>
          <t>INVESTOR RETURNS CALCULATOR</t>
        </is>
      </c>
      <c r="B1" s="24" t="n"/>
      <c r="C1" s="24" t="n"/>
      <c r="D1" s="24" t="n"/>
      <c r="E1" s="24" t="n"/>
      <c r="F1" s="25" t="n"/>
    </row>
    <row r="2" ht="16" customHeight="1">
      <c r="A2" s="81" t="inlineStr">
        <is>
          <t>Interactive tool — change the yellow cells to model your potential returns</t>
        </is>
      </c>
    </row>
    <row r="3" ht="6" customHeight="1"/>
    <row r="4" ht="20" customHeight="1">
      <c r="A4" s="26" t="inlineStr">
        <is>
          <t>A. YOUR INVESTMENT (Edit yellow cells)</t>
        </is>
      </c>
      <c r="B4" s="27" t="n"/>
      <c r="C4" s="27" t="n"/>
      <c r="D4" s="27" t="n"/>
      <c r="E4" s="27" t="n"/>
      <c r="F4" s="28" t="n"/>
    </row>
    <row r="5">
      <c r="A5" s="29" t="inlineStr">
        <is>
          <t>Input</t>
        </is>
      </c>
      <c r="B5" s="29" t="inlineStr">
        <is>
          <t>Your Value</t>
        </is>
      </c>
      <c r="D5" s="29" t="inlineStr">
        <is>
          <t>Guidance</t>
        </is>
      </c>
    </row>
    <row r="6" ht="20" customHeight="1">
      <c r="A6" s="39" t="inlineStr">
        <is>
          <t>Investment Amount (€)</t>
        </is>
      </c>
      <c r="B6" s="31" t="n">
        <v>10000</v>
      </c>
      <c r="D6" s="32" t="inlineStr">
        <is>
          <t>Minimum €10,000</t>
        </is>
      </c>
      <c r="E6" s="27" t="n"/>
      <c r="F6" s="28" t="n"/>
    </row>
    <row r="7" ht="20" customHeight="1">
      <c r="A7" s="39" t="inlineStr">
        <is>
          <t>Expected Portfolio MOIC</t>
        </is>
      </c>
      <c r="B7" s="41" t="n">
        <v>3</v>
      </c>
      <c r="D7" s="32" t="inlineStr">
        <is>
          <t>Dropdown: 1x–10x</t>
        </is>
      </c>
      <c r="E7" s="27" t="n"/>
      <c r="F7" s="28" t="n"/>
    </row>
    <row r="8" ht="20" customHeight="1">
      <c r="A8" s="39" t="inlineStr">
        <is>
          <t>Holding Period (years)</t>
        </is>
      </c>
      <c r="B8" s="42" t="n">
        <v>7</v>
      </c>
      <c r="D8" s="32" t="inlineStr">
        <is>
          <t>Range: 5–10 years</t>
        </is>
      </c>
      <c r="E8" s="27" t="n"/>
      <c r="F8" s="28" t="n"/>
    </row>
    <row r="9" ht="8" customHeight="1"/>
    <row r="10" ht="20" customHeight="1">
      <c r="A10" s="26" t="inlineStr">
        <is>
          <t>B. YOUR PROJECTED RETURNS</t>
        </is>
      </c>
      <c r="B10" s="27" t="n"/>
      <c r="C10" s="27" t="n"/>
      <c r="D10" s="27" t="n"/>
      <c r="E10" s="27" t="n"/>
      <c r="F10" s="28" t="n"/>
    </row>
    <row r="11" ht="14" customHeight="1">
      <c r="A11" s="40" t="inlineStr">
        <is>
          <t>All calculations use the 8% hurdle rate and 25% carried interest structure of the fund</t>
        </is>
      </c>
    </row>
    <row r="12" ht="6" customHeight="1"/>
    <row r="13" ht="18" customHeight="1">
      <c r="A13" s="39" t="inlineStr">
        <is>
          <t>Initial Investment</t>
        </is>
      </c>
      <c r="B13" s="44">
        <f>B6</f>
        <v/>
      </c>
    </row>
    <row r="14" ht="18" customHeight="1">
      <c r="A14" s="39" t="inlineStr">
        <is>
          <t>Gross Return (before fees)</t>
        </is>
      </c>
      <c r="B14" s="44">
        <f>B6*B7</f>
        <v/>
      </c>
    </row>
    <row r="15" ht="18" customHeight="1">
      <c r="A15" s="39" t="inlineStr">
        <is>
          <t>Gross Profit</t>
        </is>
      </c>
      <c r="B15" s="44">
        <f>B14-B6</f>
        <v/>
      </c>
    </row>
    <row r="16" ht="8" customHeight="1"/>
    <row r="17" ht="18" customHeight="1">
      <c r="A17" s="39" t="inlineStr">
        <is>
          <t>Preferred Return (8% hurdle)</t>
        </is>
      </c>
      <c r="B17" s="44">
        <f>B6*((1.08^B8)-1)</f>
        <v/>
      </c>
    </row>
    <row r="18" ht="18" customHeight="1">
      <c r="A18" s="39" t="inlineStr">
        <is>
          <t>You Receive First (Capital+Hurdle)</t>
        </is>
      </c>
      <c r="B18" s="44">
        <f>B6+B17</f>
        <v/>
      </c>
    </row>
    <row r="19" ht="8" customHeight="1"/>
    <row r="20" ht="18" customHeight="1">
      <c r="A20" s="39" t="inlineStr">
        <is>
          <t>Remaining Profit Above Hurdle</t>
        </is>
      </c>
      <c r="B20" s="44">
        <f>MAX(0,B15-B17)</f>
        <v/>
      </c>
    </row>
    <row r="21" ht="18" customHeight="1">
      <c r="A21" s="39" t="inlineStr">
        <is>
          <t>Your 75% Share</t>
        </is>
      </c>
      <c r="B21" s="44">
        <f>B20*0.75</f>
        <v/>
      </c>
    </row>
    <row r="22" ht="18" customHeight="1">
      <c r="A22" s="39" t="inlineStr">
        <is>
          <t>GP Carry 25%</t>
        </is>
      </c>
      <c r="B22" s="44">
        <f>B20*0.25</f>
        <v/>
      </c>
    </row>
    <row r="23" ht="8" customHeight="1"/>
    <row r="24" ht="28" customHeight="1">
      <c r="A24" s="37" t="inlineStr">
        <is>
          <t>YOUR TOTAL DISTRIBUTION</t>
        </is>
      </c>
      <c r="B24" s="82">
        <f>B18+B21</f>
        <v/>
      </c>
    </row>
    <row r="25" ht="28" customHeight="1">
      <c r="A25" s="37" t="inlineStr">
        <is>
          <t>YOUR NET MULTIPLE</t>
        </is>
      </c>
      <c r="B25" s="83">
        <f>B23/B6</f>
        <v/>
      </c>
    </row>
    <row r="26" ht="28" customHeight="1">
      <c r="A26" s="37" t="inlineStr">
        <is>
          <t>YOUR NET IRR (approx.)</t>
        </is>
      </c>
      <c r="B26" s="84">
        <f>(B23/B6)^(1/B8)-1</f>
        <v/>
      </c>
    </row>
    <row r="27" ht="8" customHeight="1"/>
    <row r="28" ht="20" customHeight="1">
      <c r="A28" s="26" t="inlineStr">
        <is>
          <t>C. SCENARIO COMPARISON (based on your investment amount)</t>
        </is>
      </c>
      <c r="B28" s="27" t="n"/>
      <c r="C28" s="27" t="n"/>
      <c r="D28" s="27" t="n"/>
      <c r="E28" s="27" t="n"/>
      <c r="F28" s="28" t="n"/>
    </row>
    <row r="29">
      <c r="A29" s="29" t="inlineStr">
        <is>
          <t>Scenario</t>
        </is>
      </c>
      <c r="B29" s="29" t="inlineStr">
        <is>
          <t>Portfolio MOIC</t>
        </is>
      </c>
      <c r="C29" s="29" t="inlineStr">
        <is>
          <t>Your Investment</t>
        </is>
      </c>
      <c r="D29" s="29" t="inlineStr">
        <is>
          <t>Your Distribution</t>
        </is>
      </c>
      <c r="E29" s="29" t="inlineStr">
        <is>
          <t>Your Multiple</t>
        </is>
      </c>
      <c r="F29" s="29" t="inlineStr">
        <is>
          <t>Your IRR</t>
        </is>
      </c>
    </row>
    <row r="30" ht="18" customHeight="1">
      <c r="A30" s="30" t="inlineStr">
        <is>
          <t>Conservative</t>
        </is>
      </c>
      <c r="B30" s="74" t="n">
        <v>2</v>
      </c>
      <c r="C30" s="14">
        <f>$B$6</f>
        <v/>
      </c>
      <c r="D30" s="14">
        <f>$B$6+$B$6*((1.08^$B$8)-1)+(MAX(0,$B$6*B30-$B$6-$B$6*((1.08^$B$8)-1))*0.75)</f>
        <v/>
      </c>
      <c r="E30" s="74">
        <f>E30/$B$6</f>
        <v/>
      </c>
      <c r="F30" s="58">
        <f>(E30/$B$6)^(1/$B$8)-1</f>
        <v/>
      </c>
    </row>
    <row r="31" ht="18" customHeight="1">
      <c r="A31" s="33" t="inlineStr">
        <is>
          <t>Base Case</t>
        </is>
      </c>
      <c r="B31" s="85" t="n">
        <v>3</v>
      </c>
      <c r="C31" s="16">
        <f>$B$6</f>
        <v/>
      </c>
      <c r="D31" s="16">
        <f>$B$6+$B$6*((1.08^$B$8)-1)+(MAX(0,$B$6*B31-$B$6-$B$6*((1.08^$B$8)-1))*0.75)</f>
        <v/>
      </c>
      <c r="E31" s="85">
        <f>E31/$B$6</f>
        <v/>
      </c>
      <c r="F31" s="75">
        <f>(E31/$B$6)^(1/$B$8)-1</f>
        <v/>
      </c>
    </row>
    <row r="32" ht="18" customHeight="1">
      <c r="A32" s="30" t="inlineStr">
        <is>
          <t>Optimistic</t>
        </is>
      </c>
      <c r="B32" s="74" t="n">
        <v>5</v>
      </c>
      <c r="C32" s="14">
        <f>$B$6</f>
        <v/>
      </c>
      <c r="D32" s="14">
        <f>$B$6+$B$6*((1.08^$B$8)-1)+(MAX(0,$B$6*B32-$B$6-$B$6*((1.08^$B$8)-1))*0.75)</f>
        <v/>
      </c>
      <c r="E32" s="74">
        <f>E32/$B$6</f>
        <v/>
      </c>
      <c r="F32" s="58">
        <f>(E32/$B$6)^(1/$B$8)-1</f>
        <v/>
      </c>
    </row>
    <row r="33" ht="8" customHeight="1"/>
    <row r="34" ht="20" customHeight="1">
      <c r="A34" s="26" t="inlineStr">
        <is>
          <t>D. FEE IMPACT ANALYSIS</t>
        </is>
      </c>
      <c r="B34" s="27" t="n"/>
      <c r="C34" s="27" t="n"/>
      <c r="D34" s="27" t="n"/>
      <c r="E34" s="27" t="n"/>
      <c r="F34" s="28" t="n"/>
    </row>
    <row r="35">
      <c r="A35" s="29" t="inlineStr">
        <is>
          <t>Item</t>
        </is>
      </c>
      <c r="B35" s="29" t="inlineStr">
        <is>
          <t>Amount</t>
        </is>
      </c>
    </row>
    <row r="36" ht="18" customHeight="1">
      <c r="A36" s="39" t="inlineStr">
        <is>
          <t>Gross Returns (before fees)</t>
        </is>
      </c>
      <c r="B36" s="44">
        <f>B6*B7</f>
        <v/>
      </c>
    </row>
    <row r="37" ht="18" customHeight="1">
      <c r="A37" s="39" t="inlineStr">
        <is>
          <t>Gross Multiple</t>
        </is>
      </c>
      <c r="B37" s="49">
        <f>B7</f>
        <v/>
      </c>
    </row>
    <row r="38" ht="18" customHeight="1">
      <c r="A38" s="39" t="inlineStr">
        <is>
          <t>Mgmt Fees Impact (1.5% × 10yr)</t>
        </is>
      </c>
      <c r="B38" s="44">
        <f>B6*0.015*10</f>
        <v/>
      </c>
    </row>
    <row r="39" ht="18" customHeight="1">
      <c r="A39" s="39" t="inlineStr">
        <is>
          <t>Carry Paid to GP</t>
        </is>
      </c>
      <c r="B39" s="44">
        <f>B22</f>
        <v/>
      </c>
    </row>
    <row r="40" ht="18" customHeight="1">
      <c r="A40" s="37" t="inlineStr">
        <is>
          <t>Net to You</t>
        </is>
      </c>
      <c r="B40" s="73">
        <f>B23</f>
        <v/>
      </c>
    </row>
    <row r="41" ht="18" customHeight="1">
      <c r="A41" s="37" t="inlineStr">
        <is>
          <t>Net Multiple</t>
        </is>
      </c>
      <c r="B41" s="71">
        <f>B24</f>
        <v/>
      </c>
    </row>
    <row r="42" ht="18" customHeight="1">
      <c r="A42" s="39" t="inlineStr">
        <is>
          <t>Blended Fee Rate</t>
        </is>
      </c>
      <c r="B42" s="86">
        <f>IF(B36&gt;0,(B38+B39)/B36,0)</f>
        <v/>
      </c>
    </row>
    <row r="43" ht="8" customHeight="1"/>
    <row r="44" ht="20" customHeight="1">
      <c r="A44" s="87" t="inlineStr">
        <is>
          <t>IMPORTANT RISK DISCLAIMER</t>
        </is>
      </c>
      <c r="B44" s="27" t="n"/>
      <c r="C44" s="27" t="n"/>
      <c r="D44" s="27" t="n"/>
      <c r="E44" s="27" t="n"/>
      <c r="F44" s="28" t="n"/>
    </row>
    <row r="45" ht="18" customHeight="1">
      <c r="A45" s="88" t="inlineStr">
        <is>
          <t>This calculator provides illustrative projections only. Actual returns may vary significantly. Venture capital investments are high-risk and illiquid. You could lose your entire investment. Past performance (if any) does not guarantee future results. MOIC and IRR targets are aspirational, not promises. Inflection Ventures Fund I is not yet regulated or approved by any authority.</t>
        </is>
      </c>
    </row>
    <row r="46" ht="18" customHeight="1"/>
    <row r="47" ht="18" customHeight="1"/>
    <row r="48" ht="18" customHeight="1"/>
  </sheetData>
  <mergeCells count="10">
    <mergeCell ref="A10:F10"/>
    <mergeCell ref="A28:F28"/>
    <mergeCell ref="A45:F48"/>
    <mergeCell ref="A44:F44"/>
    <mergeCell ref="A1:F1"/>
    <mergeCell ref="A34:F34"/>
    <mergeCell ref="A4:F4"/>
    <mergeCell ref="D7:F7"/>
    <mergeCell ref="D8:F8"/>
    <mergeCell ref="D6:F6"/>
  </mergeCells>
  <dataValidations count="2">
    <dataValidation sqref="B6" showDropDown="0" showInputMessage="0" showErrorMessage="1" allowBlank="0" error="Minimum investment is €10,000" type="whole" operator="greaterThanOrEqual">
      <formula1>10000</formula1>
    </dataValidation>
    <dataValidation sqref="B8" showDropDown="0" showInputMessage="0" showErrorMessage="1" allowBlank="0" error="Enter years between 5 and 10" type="whole" operator="between">
      <formula1>5</formula1>
      <formula2>10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7575"/>
    <outlinePr summaryBelow="1" summaryRight="1"/>
    <pageSetUpPr/>
  </sheetPr>
  <dimension ref="A1:E7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35" customWidth="1" min="5" max="5"/>
  </cols>
  <sheetData>
    <row r="1" ht="28" customHeight="1">
      <c r="A1" s="23" t="inlineStr">
        <is>
          <t>INFLECTION VENTURES – ASSUMPTIONS &amp; INPUTS</t>
        </is>
      </c>
      <c r="B1" s="24" t="n"/>
      <c r="C1" s="24" t="n"/>
      <c r="D1" s="24" t="n"/>
      <c r="E1" s="25" t="n"/>
    </row>
    <row r="2">
      <c r="A2" s="40" t="inlineStr">
        <is>
          <t>All yellow cells are user-adjustable. Other sheets reference values here.</t>
        </is>
      </c>
    </row>
    <row r="3" ht="6" customHeight="1"/>
    <row r="4" ht="20" customHeight="1">
      <c r="A4" s="26" t="inlineStr">
        <is>
          <t>A. FUND PARAMETERS</t>
        </is>
      </c>
      <c r="B4" s="27" t="n"/>
      <c r="C4" s="27" t="n"/>
      <c r="D4" s="27" t="n"/>
      <c r="E4" s="28" t="n"/>
    </row>
    <row r="5">
      <c r="A5" s="29" t="inlineStr">
        <is>
          <t>Parameter</t>
        </is>
      </c>
      <c r="B5" s="29" t="inlineStr">
        <is>
          <t>Value</t>
        </is>
      </c>
      <c r="E5" s="29" t="inlineStr">
        <is>
          <t>Notes</t>
        </is>
      </c>
    </row>
    <row r="6" ht="18" customHeight="1">
      <c r="A6" s="89" t="inlineStr">
        <is>
          <t>Fund Name</t>
        </is>
      </c>
      <c r="B6" s="90" t="inlineStr">
        <is>
          <t>Inflection Ventures Fund I</t>
        </is>
      </c>
      <c r="E6" s="32" t="inlineStr">
        <is>
          <t>Legal entity name</t>
        </is>
      </c>
    </row>
    <row r="7" ht="18" customHeight="1">
      <c r="A7" s="89" t="inlineStr">
        <is>
          <t>Legal Structure</t>
        </is>
      </c>
      <c r="B7" s="90" t="inlineStr">
        <is>
          <t>Luxembourg ELTIF 2.0</t>
        </is>
      </c>
      <c r="E7" s="32" t="inlineStr">
        <is>
          <t>EU regulatory framework</t>
        </is>
      </c>
    </row>
    <row r="8" ht="18" customHeight="1">
      <c r="A8" s="89" t="inlineStr">
        <is>
          <t>Fund Size (Target €)</t>
        </is>
      </c>
      <c r="B8" s="31" t="n">
        <v>3000000</v>
      </c>
      <c r="E8" s="32" t="inlineStr">
        <is>
          <t>User adjustable – base case €3M</t>
        </is>
      </c>
    </row>
    <row r="9" ht="18" customHeight="1">
      <c r="A9" s="89" t="inlineStr">
        <is>
          <t>Minimum Investment (€)</t>
        </is>
      </c>
      <c r="B9" s="91" t="n">
        <v>10000</v>
      </c>
      <c r="E9" s="32" t="inlineStr">
        <is>
          <t>ELTIF 2.0 minimum</t>
        </is>
      </c>
    </row>
    <row r="10" ht="18" customHeight="1">
      <c r="A10" s="89" t="inlineStr">
        <is>
          <t>Target Investors</t>
        </is>
      </c>
      <c r="B10" s="90" t="inlineStr">
        <is>
          <t>300-500</t>
        </is>
      </c>
      <c r="E10" s="32" t="inlineStr">
        <is>
          <t>Range</t>
        </is>
      </c>
    </row>
    <row r="11" ht="18" customHeight="1">
      <c r="A11" s="89" t="inlineStr">
        <is>
          <t>Management Fee (%)</t>
        </is>
      </c>
      <c r="B11" s="34" t="n">
        <v>0.015</v>
      </c>
      <c r="E11" s="32" t="inlineStr">
        <is>
          <t>Annual, on committed capital</t>
        </is>
      </c>
    </row>
    <row r="12" ht="18" customHeight="1">
      <c r="A12" s="89" t="inlineStr">
        <is>
          <t>Carried Interest (%)</t>
        </is>
      </c>
      <c r="B12" s="34" t="n">
        <v>0.25</v>
      </c>
      <c r="E12" s="32" t="inlineStr">
        <is>
          <t>Above hurdle rate</t>
        </is>
      </c>
    </row>
    <row r="13" ht="18" customHeight="1">
      <c r="A13" s="89" t="inlineStr">
        <is>
          <t>Hurdle Rate (%)</t>
        </is>
      </c>
      <c r="B13" s="34" t="n">
        <v>0.08</v>
      </c>
      <c r="E13" s="32" t="inlineStr">
        <is>
          <t>Annual preferred return</t>
        </is>
      </c>
    </row>
    <row r="14" ht="18" customHeight="1">
      <c r="A14" s="89" t="inlineStr">
        <is>
          <t>Fund Duration (years)</t>
        </is>
      </c>
      <c r="B14" s="92" t="n">
        <v>10</v>
      </c>
      <c r="E14" s="32" t="inlineStr">
        <is>
          <t>Plus possible extensions</t>
        </is>
      </c>
    </row>
    <row r="15" ht="18" customHeight="1">
      <c r="A15" s="89" t="inlineStr">
        <is>
          <t>Investment Period (years)</t>
        </is>
      </c>
      <c r="B15" s="92" t="n">
        <v>4</v>
      </c>
      <c r="E15" s="32" t="inlineStr">
        <is>
          <t>Active deployment window</t>
        </is>
      </c>
    </row>
    <row r="16" ht="6" customHeight="1"/>
    <row r="17" ht="20" customHeight="1">
      <c r="A17" s="26" t="inlineStr">
        <is>
          <t>B. PORTFOLIO PARAMETERS</t>
        </is>
      </c>
      <c r="B17" s="27" t="n"/>
      <c r="C17" s="27" t="n"/>
      <c r="D17" s="27" t="n"/>
      <c r="E17" s="28" t="n"/>
    </row>
    <row r="18">
      <c r="A18" s="29" t="inlineStr">
        <is>
          <t>Parameter</t>
        </is>
      </c>
      <c r="B18" s="29" t="inlineStr">
        <is>
          <t>Value</t>
        </is>
      </c>
      <c r="E18" s="29" t="inlineStr">
        <is>
          <t>Notes</t>
        </is>
      </c>
    </row>
    <row r="19" ht="18" customHeight="1">
      <c r="A19" s="89" t="inlineStr">
        <is>
          <t>Target Companies (total)</t>
        </is>
      </c>
      <c r="B19" s="42" t="n">
        <v>18</v>
      </c>
      <c r="E19" s="32" t="inlineStr">
        <is>
          <t>Range 15–20</t>
        </is>
      </c>
    </row>
    <row r="20" ht="18" customHeight="1">
      <c r="A20" s="89" t="inlineStr">
        <is>
          <t>Longevity Companies</t>
        </is>
      </c>
      <c r="B20" s="92" t="n">
        <v>9</v>
      </c>
      <c r="E20" s="32" t="inlineStr">
        <is>
          <t>~50% of portfolio</t>
        </is>
      </c>
    </row>
    <row r="21" ht="18" customHeight="1">
      <c r="A21" s="89" t="inlineStr">
        <is>
          <t>Space Companies</t>
        </is>
      </c>
      <c r="B21" s="92" t="n">
        <v>9</v>
      </c>
      <c r="E21" s="32" t="inlineStr">
        <is>
          <t>~50% of portfolio</t>
        </is>
      </c>
    </row>
    <row r="22" ht="18" customHeight="1">
      <c r="A22" s="89" t="inlineStr">
        <is>
          <t>Average Initial Ticket (€)</t>
        </is>
      </c>
      <c r="B22" s="91" t="n">
        <v>200000</v>
      </c>
      <c r="E22" s="32" t="inlineStr">
        <is>
          <t>€150K–€250K range</t>
        </is>
      </c>
    </row>
    <row r="23" ht="18" customHeight="1">
      <c r="A23" s="89" t="inlineStr">
        <is>
          <t>Follow-On Reserve (%)</t>
        </is>
      </c>
      <c r="B23" s="34" t="n">
        <v>0.3</v>
      </c>
      <c r="E23" s="32" t="inlineStr">
        <is>
          <t>30% of fund reserved</t>
        </is>
      </c>
    </row>
    <row r="24" ht="18" customHeight="1">
      <c r="A24" s="89" t="inlineStr">
        <is>
          <t>Geographic – EU (%)</t>
        </is>
      </c>
      <c r="B24" s="93" t="n">
        <v>0.7</v>
      </c>
      <c r="E24" s="32" t="inlineStr">
        <is>
          <t>ELTIF 2.0 compliance</t>
        </is>
      </c>
    </row>
    <row r="25" ht="18" customHeight="1">
      <c r="A25" s="89" t="inlineStr">
        <is>
          <t>Geographic – US/Other (%)</t>
        </is>
      </c>
      <c r="B25" s="93" t="n">
        <v>0.3</v>
      </c>
      <c r="E25" s="32" t="inlineStr"/>
    </row>
    <row r="26" ht="18" customHeight="1">
      <c r="A26" s="89" t="inlineStr">
        <is>
          <t>Stage Focus</t>
        </is>
      </c>
      <c r="B26" s="90" t="inlineStr">
        <is>
          <t>Pre-seed, Seed, Series A</t>
        </is>
      </c>
      <c r="E26" s="32" t="inlineStr">
        <is>
          <t>Early-stage only</t>
        </is>
      </c>
    </row>
    <row r="27" ht="6" customHeight="1"/>
    <row r="28" ht="20" customHeight="1">
      <c r="A28" s="26" t="inlineStr">
        <is>
          <t>C. RETURN ASSUMPTIONS</t>
        </is>
      </c>
      <c r="B28" s="27" t="n"/>
      <c r="C28" s="27" t="n"/>
      <c r="D28" s="27" t="n"/>
      <c r="E28" s="28" t="n"/>
    </row>
    <row r="29">
      <c r="A29" s="29" t="inlineStr">
        <is>
          <t>Scenario</t>
        </is>
      </c>
      <c r="B29" s="29" t="inlineStr">
        <is>
          <t>Portfolio MOIC</t>
        </is>
      </c>
      <c r="C29" s="29" t="inlineStr">
        <is>
          <t>Timeline (yrs)</t>
        </is>
      </c>
      <c r="E29" s="29" t="inlineStr">
        <is>
          <t>Notes</t>
        </is>
      </c>
    </row>
    <row r="30" ht="18" customHeight="1">
      <c r="A30" s="89" t="inlineStr">
        <is>
          <t>Conservative</t>
        </is>
      </c>
      <c r="B30" s="94" t="n">
        <v>2</v>
      </c>
      <c r="C30" s="95" t="inlineStr">
        <is>
          <t>8–9</t>
        </is>
      </c>
      <c r="E30" s="32" t="inlineStr">
        <is>
          <t>Base case survival rate</t>
        </is>
      </c>
    </row>
    <row r="31" ht="18" customHeight="1">
      <c r="A31" s="89" t="inlineStr">
        <is>
          <t>Base Case</t>
        </is>
      </c>
      <c r="B31" s="94" t="n">
        <v>3</v>
      </c>
      <c r="C31" s="95" t="n">
        <v>7</v>
      </c>
      <c r="E31" s="32" t="inlineStr">
        <is>
          <t>Target returns</t>
        </is>
      </c>
    </row>
    <row r="32" ht="18" customHeight="1">
      <c r="A32" s="89" t="inlineStr">
        <is>
          <t>Optimistic</t>
        </is>
      </c>
      <c r="B32" s="94" t="n">
        <v>5</v>
      </c>
      <c r="C32" s="95" t="n">
        <v>6</v>
      </c>
      <c r="E32" s="32" t="inlineStr">
        <is>
          <t>Strong portfolio</t>
        </is>
      </c>
    </row>
    <row r="33" ht="18" customHeight="1">
      <c r="A33" s="89" t="inlineStr">
        <is>
          <t>Failures (40-50%)</t>
        </is>
      </c>
      <c r="B33" s="94" t="inlineStr">
        <is>
          <t>0–0.5x</t>
        </is>
      </c>
      <c r="C33" s="95" t="inlineStr"/>
      <c r="E33" s="32" t="inlineStr">
        <is>
          <t>Total loss or near-loss</t>
        </is>
      </c>
    </row>
    <row r="34" ht="18" customHeight="1">
      <c r="A34" s="89" t="inlineStr">
        <is>
          <t>Modest Returns (30-40%)</t>
        </is>
      </c>
      <c r="B34" s="94" t="inlineStr">
        <is>
          <t>0.5–2x</t>
        </is>
      </c>
      <c r="C34" s="95" t="inlineStr"/>
      <c r="E34" s="32" t="inlineStr">
        <is>
          <t>Return capital or small gain</t>
        </is>
      </c>
    </row>
    <row r="35" ht="18" customHeight="1">
      <c r="A35" s="89" t="inlineStr">
        <is>
          <t>Good Returns (10-20%)</t>
        </is>
      </c>
      <c r="B35" s="94" t="inlineStr">
        <is>
          <t>3–10x</t>
        </is>
      </c>
      <c r="C35" s="95" t="inlineStr"/>
      <c r="E35" s="32" t="inlineStr">
        <is>
          <t>Solid returns</t>
        </is>
      </c>
    </row>
    <row r="36" ht="18" customHeight="1">
      <c r="A36" s="89" t="inlineStr">
        <is>
          <t>Exceptional (5-10%)</t>
        </is>
      </c>
      <c r="B36" s="94" t="inlineStr">
        <is>
          <t>10x+</t>
        </is>
      </c>
      <c r="C36" s="95" t="inlineStr"/>
      <c r="E36" s="32" t="inlineStr">
        <is>
          <t>Home runs</t>
        </is>
      </c>
    </row>
    <row r="37" ht="6" customHeight="1"/>
    <row r="38" ht="20" customHeight="1">
      <c r="A38" s="26" t="inlineStr">
        <is>
          <t>D. OPERATING EXPENSE ASSUMPTIONS</t>
        </is>
      </c>
      <c r="B38" s="27" t="n"/>
      <c r="C38" s="27" t="n"/>
      <c r="D38" s="27" t="n"/>
      <c r="E38" s="28" t="n"/>
    </row>
    <row r="39">
      <c r="A39" s="29" t="inlineStr">
        <is>
          <t>Category</t>
        </is>
      </c>
      <c r="B39" s="29" t="inlineStr">
        <is>
          <t>Year 1</t>
        </is>
      </c>
      <c r="C39" s="29" t="inlineStr">
        <is>
          <t>Year 2</t>
        </is>
      </c>
      <c r="D39" s="29" t="inlineStr">
        <is>
          <t>Year 3</t>
        </is>
      </c>
      <c r="E39" s="29" t="inlineStr">
        <is>
          <t>Growth Rate</t>
        </is>
      </c>
    </row>
    <row r="40" ht="18" customHeight="1">
      <c r="A40" s="30" t="inlineStr">
        <is>
          <t>Legal &amp; Compliance</t>
        </is>
      </c>
      <c r="B40" s="14" t="n">
        <v>25000</v>
      </c>
      <c r="C40" s="14" t="n">
        <v>25000</v>
      </c>
      <c r="D40" s="14" t="n">
        <v>25000</v>
      </c>
      <c r="E40" s="32" t="inlineStr">
        <is>
          <t>Flat</t>
        </is>
      </c>
    </row>
    <row r="41" ht="18" customHeight="1">
      <c r="A41" s="33" t="inlineStr">
        <is>
          <t>Fund Administration</t>
        </is>
      </c>
      <c r="B41" s="16" t="n">
        <v>18000</v>
      </c>
      <c r="C41" s="16" t="n">
        <v>22000</v>
      </c>
      <c r="D41" s="16" t="n">
        <v>25000</v>
      </c>
      <c r="E41" s="32" t="inlineStr">
        <is>
          <t>+15–20%</t>
        </is>
      </c>
    </row>
    <row r="42" ht="18" customHeight="1">
      <c r="A42" s="30" t="inlineStr">
        <is>
          <t>Auditor</t>
        </is>
      </c>
      <c r="B42" s="14" t="n">
        <v>10000</v>
      </c>
      <c r="C42" s="14" t="n">
        <v>12000</v>
      </c>
      <c r="D42" s="14" t="n">
        <v>15000</v>
      </c>
      <c r="E42" s="32" t="inlineStr">
        <is>
          <t>+20%</t>
        </is>
      </c>
    </row>
    <row r="43" ht="18" customHeight="1">
      <c r="A43" s="33" t="inlineStr">
        <is>
          <t>ELTIF Depositary</t>
        </is>
      </c>
      <c r="B43" s="16" t="n">
        <v>8000</v>
      </c>
      <c r="C43" s="16" t="n">
        <v>10000</v>
      </c>
      <c r="D43" s="16" t="n">
        <v>12000</v>
      </c>
      <c r="E43" s="32" t="inlineStr">
        <is>
          <t>+20%</t>
        </is>
      </c>
    </row>
    <row r="44" ht="18" customHeight="1">
      <c r="A44" s="30" t="inlineStr">
        <is>
          <t>Platform &amp; Technology</t>
        </is>
      </c>
      <c r="B44" s="14" t="n">
        <v>12000</v>
      </c>
      <c r="C44" s="14" t="n">
        <v>12000</v>
      </c>
      <c r="D44" s="14" t="n">
        <v>15000</v>
      </c>
      <c r="E44" s="32" t="inlineStr">
        <is>
          <t>+0–25%</t>
        </is>
      </c>
    </row>
    <row r="45" ht="18" customHeight="1">
      <c r="A45" s="33" t="inlineStr">
        <is>
          <t>KYC/AML</t>
        </is>
      </c>
      <c r="B45" s="16" t="n">
        <v>8000</v>
      </c>
      <c r="C45" s="16" t="n">
        <v>5000</v>
      </c>
      <c r="D45" s="16" t="n">
        <v>3000</v>
      </c>
      <c r="E45" s="32" t="inlineStr">
        <is>
          <t>Decreasing</t>
        </is>
      </c>
    </row>
    <row r="46" ht="18" customHeight="1">
      <c r="A46" s="30" t="inlineStr">
        <is>
          <t>Marketing &amp; Events</t>
        </is>
      </c>
      <c r="B46" s="14" t="n">
        <v>8000</v>
      </c>
      <c r="C46" s="14" t="n">
        <v>10000</v>
      </c>
      <c r="D46" s="14" t="n">
        <v>12000</v>
      </c>
      <c r="E46" s="32" t="inlineStr">
        <is>
          <t>+20–25%</t>
        </is>
      </c>
    </row>
    <row r="47" ht="18" customHeight="1">
      <c r="A47" s="33" t="inlineStr">
        <is>
          <t>Insurance (D&amp;O, E&amp;O)</t>
        </is>
      </c>
      <c r="B47" s="16" t="n">
        <v>3000</v>
      </c>
      <c r="C47" s="16" t="n">
        <v>3000</v>
      </c>
      <c r="D47" s="16" t="n">
        <v>3000</v>
      </c>
      <c r="E47" s="32" t="inlineStr">
        <is>
          <t>Flat</t>
        </is>
      </c>
    </row>
    <row r="48" ht="18" customHeight="1">
      <c r="A48" s="30" t="inlineStr">
        <is>
          <t>Bank Fees</t>
        </is>
      </c>
      <c r="B48" s="14" t="n">
        <v>1500</v>
      </c>
      <c r="C48" s="14" t="n">
        <v>1500</v>
      </c>
      <c r="D48" s="14" t="n">
        <v>1500</v>
      </c>
      <c r="E48" s="32" t="inlineStr">
        <is>
          <t>Flat</t>
        </is>
      </c>
    </row>
    <row r="49" ht="18" customHeight="1">
      <c r="A49" s="33" t="inlineStr">
        <is>
          <t>Other / Contingency</t>
        </is>
      </c>
      <c r="B49" s="16" t="n">
        <v>5000</v>
      </c>
      <c r="C49" s="16" t="n">
        <v>5000</v>
      </c>
      <c r="D49" s="16" t="n">
        <v>5000</v>
      </c>
      <c r="E49" s="32" t="inlineStr">
        <is>
          <t>Flat</t>
        </is>
      </c>
    </row>
    <row r="50" ht="18" customHeight="1">
      <c r="A50" s="69" t="inlineStr">
        <is>
          <t>TOTAL EXPENSES</t>
        </is>
      </c>
      <c r="B50" s="54">
        <f>SUM(B40:B49)</f>
        <v/>
      </c>
      <c r="C50" s="54">
        <f>SUM(C40:C49)</f>
        <v/>
      </c>
      <c r="D50" s="54">
        <f>SUM(D40:D49)</f>
        <v/>
      </c>
    </row>
    <row r="51" ht="6" customHeight="1"/>
    <row r="52" ht="20" customHeight="1">
      <c r="A52" s="26" t="inlineStr">
        <is>
          <t>E. FUNDRAISING TIMELINE</t>
        </is>
      </c>
      <c r="B52" s="27" t="n"/>
      <c r="C52" s="27" t="n"/>
      <c r="D52" s="27" t="n"/>
      <c r="E52" s="28" t="n"/>
    </row>
    <row r="53">
      <c r="A53" s="29" t="inlineStr">
        <is>
          <t>Milestone</t>
        </is>
      </c>
      <c r="B53" s="29" t="inlineStr">
        <is>
          <t>Date</t>
        </is>
      </c>
      <c r="C53" s="29" t="inlineStr">
        <is>
          <t>Amount</t>
        </is>
      </c>
      <c r="D53" s="29" t="inlineStr">
        <is>
          <t>Investors</t>
        </is>
      </c>
      <c r="E53" s="29" t="inlineStr">
        <is>
          <t>Notes</t>
        </is>
      </c>
    </row>
    <row r="54" ht="18" customHeight="1">
      <c r="A54" s="30" t="inlineStr">
        <is>
          <t>First Close</t>
        </is>
      </c>
      <c r="B54" s="30" t="inlineStr">
        <is>
          <t>Q2 2026</t>
        </is>
      </c>
      <c r="C54" s="30" t="inlineStr">
        <is>
          <t>€500K – €1M</t>
        </is>
      </c>
      <c r="D54" s="30" t="inlineStr">
        <is>
          <t>50–100</t>
        </is>
      </c>
      <c r="E54" s="30" t="inlineStr">
        <is>
          <t>Minimum to proceed</t>
        </is>
      </c>
    </row>
    <row r="55" ht="18" customHeight="1">
      <c r="A55" s="33" t="inlineStr">
        <is>
          <t>Second Close</t>
        </is>
      </c>
      <c r="B55" s="33" t="inlineStr">
        <is>
          <t>Q3 2026</t>
        </is>
      </c>
      <c r="C55" s="33" t="inlineStr">
        <is>
          <t>+€1,000,000</t>
        </is>
      </c>
      <c r="D55" s="33" t="inlineStr">
        <is>
          <t>+100</t>
        </is>
      </c>
      <c r="E55" s="33" t="inlineStr"/>
    </row>
    <row r="56" ht="18" customHeight="1">
      <c r="A56" s="30" t="inlineStr">
        <is>
          <t>Final Close</t>
        </is>
      </c>
      <c r="B56" s="30" t="inlineStr">
        <is>
          <t>Q4 2026</t>
        </is>
      </c>
      <c r="C56" s="30" t="inlineStr">
        <is>
          <t>€3,000,000 total</t>
        </is>
      </c>
      <c r="D56" s="30" t="inlineStr">
        <is>
          <t>200–300</t>
        </is>
      </c>
      <c r="E56" s="30" t="inlineStr">
        <is>
          <t>Target</t>
        </is>
      </c>
    </row>
    <row r="57" ht="18" customHeight="1">
      <c r="A57" s="33" t="inlineStr">
        <is>
          <t>Stretch Goal</t>
        </is>
      </c>
      <c r="B57" s="33" t="inlineStr">
        <is>
          <t>Q1 2027</t>
        </is>
      </c>
      <c r="C57" s="33" t="inlineStr">
        <is>
          <t>€5,000,000</t>
        </is>
      </c>
      <c r="D57" s="33" t="inlineStr">
        <is>
          <t>300–500</t>
        </is>
      </c>
      <c r="E57" s="33" t="inlineStr">
        <is>
          <t>If strong demand</t>
        </is>
      </c>
    </row>
    <row r="58" ht="6" customHeight="1"/>
    <row r="59" ht="20" customHeight="1">
      <c r="A59" s="26" t="inlineStr">
        <is>
          <t>F. MARKET DATA (Reference)</t>
        </is>
      </c>
      <c r="B59" s="27" t="n"/>
      <c r="C59" s="27" t="n"/>
      <c r="D59" s="27" t="n"/>
      <c r="E59" s="28" t="n"/>
    </row>
    <row r="60">
      <c r="A60" s="29" t="inlineStr">
        <is>
          <t>Metric</t>
        </is>
      </c>
      <c r="B60" s="29" t="inlineStr">
        <is>
          <t>Longevity</t>
        </is>
      </c>
      <c r="C60" s="29" t="inlineStr">
        <is>
          <t>Space</t>
        </is>
      </c>
      <c r="D60" s="29" t="inlineStr">
        <is>
          <t>Source/Notes</t>
        </is>
      </c>
    </row>
    <row r="61" ht="18" customHeight="1">
      <c r="A61" s="30" t="inlineStr">
        <is>
          <t>Market Size (2030)</t>
        </is>
      </c>
      <c r="B61" s="30" t="inlineStr">
        <is>
          <t>€600B+</t>
        </is>
      </c>
      <c r="C61" s="30" t="inlineStr">
        <is>
          <t>€850B+</t>
        </is>
      </c>
      <c r="D61" s="30" t="inlineStr">
        <is>
          <t>Various analyst reports</t>
        </is>
      </c>
    </row>
    <row r="62" ht="18" customHeight="1">
      <c r="A62" s="33" t="inlineStr">
        <is>
          <t>Annual VC Deployment</t>
        </is>
      </c>
      <c r="B62" s="33" t="inlineStr">
        <is>
          <t>€5–6B</t>
        </is>
      </c>
      <c r="C62" s="33" t="inlineStr">
        <is>
          <t>€6–8B</t>
        </is>
      </c>
      <c r="D62" s="33" t="inlineStr">
        <is>
          <t>2024 estimates</t>
        </is>
      </c>
    </row>
    <row r="63" ht="18" customHeight="1">
      <c r="A63" s="30" t="inlineStr">
        <is>
          <t>CAGR</t>
        </is>
      </c>
      <c r="B63" s="30" t="inlineStr">
        <is>
          <t>15–20%</t>
        </is>
      </c>
      <c r="C63" s="30" t="inlineStr">
        <is>
          <t>10–12%</t>
        </is>
      </c>
      <c r="D63" s="30" t="inlineStr"/>
    </row>
    <row r="64" ht="18" customHeight="1">
      <c r="A64" s="33" t="inlineStr">
        <is>
          <t>Notable Investors</t>
        </is>
      </c>
      <c r="B64" s="33" t="inlineStr">
        <is>
          <t>Bezos €3B, Altman €180M</t>
        </is>
      </c>
      <c r="C64" s="33" t="inlineStr">
        <is>
          <t>SpaceX €180B valuation</t>
        </is>
      </c>
      <c r="D64" s="33" t="inlineStr"/>
    </row>
    <row r="65" ht="6" customHeight="1"/>
    <row r="66" ht="20" customHeight="1">
      <c r="A66" s="26" t="inlineStr">
        <is>
          <t>G. COMPETITIVE BENCHMARKS</t>
        </is>
      </c>
      <c r="B66" s="27" t="n"/>
      <c r="C66" s="27" t="n"/>
      <c r="D66" s="27" t="n"/>
      <c r="E66" s="28" t="n"/>
    </row>
    <row r="67">
      <c r="A67" s="29" t="inlineStr">
        <is>
          <t>Fund</t>
        </is>
      </c>
      <c r="B67" s="29" t="inlineStr">
        <is>
          <t>Min Investment</t>
        </is>
      </c>
      <c r="C67" s="29" t="inlineStr">
        <is>
          <t>Mgmt Fee</t>
        </is>
      </c>
      <c r="D67" s="29" t="inlineStr">
        <is>
          <t>Carry</t>
        </is>
      </c>
      <c r="E67" s="29" t="inlineStr">
        <is>
          <t>Our Advantage</t>
        </is>
      </c>
    </row>
    <row r="68" ht="18" customHeight="1">
      <c r="A68" s="30" t="inlineStr">
        <is>
          <t>Traditional VC</t>
        </is>
      </c>
      <c r="B68" s="30" t="inlineStr">
        <is>
          <t>€500K – €5M</t>
        </is>
      </c>
      <c r="C68" s="30" t="inlineStr">
        <is>
          <t>2%</t>
        </is>
      </c>
      <c r="D68" s="30" t="inlineStr">
        <is>
          <t>20%</t>
        </is>
      </c>
      <c r="E68" s="30" t="inlineStr">
        <is>
          <t>50–100x more accessible</t>
        </is>
      </c>
    </row>
    <row r="69" ht="18" customHeight="1">
      <c r="A69" s="33" t="inlineStr">
        <is>
          <t>Apollo Health (Longevity)</t>
        </is>
      </c>
      <c r="B69" s="33" t="inlineStr">
        <is>
          <t>€1M+</t>
        </is>
      </c>
      <c r="C69" s="33" t="inlineStr">
        <is>
          <t>2%</t>
        </is>
      </c>
      <c r="D69" s="33" t="inlineStr">
        <is>
          <t>20%</t>
        </is>
      </c>
      <c r="E69" s="33" t="inlineStr">
        <is>
          <t>Access + dual sector</t>
        </is>
      </c>
    </row>
    <row r="70" ht="18" customHeight="1">
      <c r="A70" s="30" t="inlineStr">
        <is>
          <t>Seraphim (Space)</t>
        </is>
      </c>
      <c r="B70" s="30" t="inlineStr">
        <is>
          <t>€500K+</t>
        </is>
      </c>
      <c r="C70" s="30" t="inlineStr">
        <is>
          <t>2%</t>
        </is>
      </c>
      <c r="D70" s="30" t="inlineStr">
        <is>
          <t>20%</t>
        </is>
      </c>
      <c r="E70" s="30" t="inlineStr">
        <is>
          <t>Access + dual sector</t>
        </is>
      </c>
    </row>
    <row r="71" ht="18" customHeight="1">
      <c r="A71" s="33" t="inlineStr">
        <is>
          <t>Crowdfunding</t>
        </is>
      </c>
      <c r="B71" s="33" t="inlineStr">
        <is>
          <t>€100 – €1K</t>
        </is>
      </c>
      <c r="C71" s="33" t="inlineStr">
        <is>
          <t>Varies</t>
        </is>
      </c>
      <c r="D71" s="33" t="inlineStr">
        <is>
          <t>N/A</t>
        </is>
      </c>
      <c r="E71" s="33" t="inlineStr">
        <is>
          <t>Portfolio + expertise</t>
        </is>
      </c>
    </row>
    <row r="72" ht="18" customHeight="1">
      <c r="A72" s="96" t="inlineStr">
        <is>
          <t>★ Inflection Ventures</t>
        </is>
      </c>
      <c r="B72" s="96" t="inlineStr">
        <is>
          <t>€10,000</t>
        </is>
      </c>
      <c r="C72" s="96" t="inlineStr">
        <is>
          <t>1.5%</t>
        </is>
      </c>
      <c r="D72" s="96" t="inlineStr">
        <is>
          <t>25%</t>
        </is>
      </c>
      <c r="E72" s="96" t="inlineStr">
        <is>
          <t>Unique positioning</t>
        </is>
      </c>
    </row>
  </sheetData>
  <mergeCells count="8">
    <mergeCell ref="A4:E4"/>
    <mergeCell ref="A59:E59"/>
    <mergeCell ref="A38:E38"/>
    <mergeCell ref="A52:E52"/>
    <mergeCell ref="A28:E28"/>
    <mergeCell ref="A1:E1"/>
    <mergeCell ref="A66:E66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2026-03-01T17:21:54Z</dcterms:created>
  <dcterms:modified xsi:type="dcterms:W3CDTF">2026-03-01T17:21:54Z</dcterms:modified>
</cp:coreProperties>
</file>